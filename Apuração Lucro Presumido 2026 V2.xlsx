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fran\Desktop\Planilhas\"/>
    </mc:Choice>
  </mc:AlternateContent>
  <xr:revisionPtr revIDLastSave="0" documentId="13_ncr:1_{A9A3D4D9-F0D7-42EF-BAC0-89AABFEC5DB4}" xr6:coauthVersionLast="47" xr6:coauthVersionMax="47" xr10:uidLastSave="{00000000-0000-0000-0000-000000000000}"/>
  <bookViews>
    <workbookView xWindow="20370" yWindow="-120" windowWidth="20730" windowHeight="11160" xr2:uid="{8C72F554-515F-49C3-A665-F02D472BB847}"/>
  </bookViews>
  <sheets>
    <sheet name="Apuracao_Trimestre" sheetId="8" r:id="rId1"/>
    <sheet name="Memoria_Anual" sheetId="9" r:id="rId2"/>
    <sheet name="Config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8" l="1"/>
  <c r="F38" i="8"/>
  <c r="F24" i="8" s="1"/>
  <c r="F39" i="8"/>
  <c r="F40" i="8"/>
  <c r="F41" i="8"/>
  <c r="C42" i="8"/>
  <c r="D42" i="8"/>
  <c r="E42" i="8"/>
  <c r="F42" i="8"/>
  <c r="F45" i="8"/>
  <c r="F46" i="8"/>
  <c r="C35" i="8"/>
  <c r="C24" i="8"/>
  <c r="C27" i="8"/>
  <c r="L7" i="9"/>
  <c r="L6" i="9"/>
  <c r="L5" i="9"/>
  <c r="L4" i="9"/>
  <c r="C4" i="9"/>
  <c r="D4" i="9" s="1"/>
  <c r="G4" i="9" l="1"/>
  <c r="E4" i="9"/>
  <c r="F4" i="9" s="1"/>
  <c r="C44" i="8"/>
  <c r="D44" i="8"/>
  <c r="D48" i="8" s="1"/>
  <c r="E44" i="8"/>
  <c r="E48" i="8" s="1"/>
  <c r="C43" i="8"/>
  <c r="D43" i="8"/>
  <c r="D47" i="8" s="1"/>
  <c r="D49" i="8" s="1"/>
  <c r="E43" i="8"/>
  <c r="E47" i="8" s="1"/>
  <c r="E49" i="8" s="1"/>
  <c r="F25" i="8"/>
  <c r="F26" i="8" s="1"/>
  <c r="C25" i="8" l="1" a="1"/>
  <c r="C25" i="8" s="1"/>
  <c r="C26" i="8" s="1"/>
  <c r="C5" i="9"/>
  <c r="D5" i="9" s="1"/>
  <c r="F43" i="8"/>
  <c r="C47" i="8"/>
  <c r="F44" i="8"/>
  <c r="C48" i="8"/>
  <c r="F48" i="8" s="1"/>
  <c r="C65" i="8" s="1"/>
  <c r="E5" i="9" l="1"/>
  <c r="F5" i="9" s="1"/>
  <c r="G5" i="9"/>
  <c r="C6" i="9" s="1"/>
  <c r="D6" i="9" s="1"/>
  <c r="F22" i="8"/>
  <c r="G22" i="8" s="1"/>
  <c r="F21" i="8"/>
  <c r="G21" i="8" s="1"/>
  <c r="F20" i="8"/>
  <c r="G20" i="8" s="1"/>
  <c r="F19" i="8"/>
  <c r="G19" i="8" s="1"/>
  <c r="F18" i="8"/>
  <c r="G18" i="8" s="1"/>
  <c r="F17" i="8"/>
  <c r="G17" i="8" s="1"/>
  <c r="F47" i="8"/>
  <c r="C49" i="8"/>
  <c r="H17" i="8" l="1"/>
  <c r="I17" i="8" s="1"/>
  <c r="J17" i="8"/>
  <c r="H18" i="8"/>
  <c r="J18" i="8"/>
  <c r="I18" i="8"/>
  <c r="H19" i="8"/>
  <c r="J19" i="8"/>
  <c r="I19" i="8"/>
  <c r="H20" i="8"/>
  <c r="J20" i="8"/>
  <c r="I20" i="8"/>
  <c r="H21" i="8"/>
  <c r="J21" i="8"/>
  <c r="I21" i="8"/>
  <c r="H22" i="8"/>
  <c r="J22" i="8"/>
  <c r="I22" i="8"/>
  <c r="E6" i="9"/>
  <c r="F6" i="9" s="1"/>
  <c r="G6" i="9"/>
  <c r="C7" i="9" s="1"/>
  <c r="D7" i="9" s="1"/>
  <c r="C64" i="8"/>
  <c r="F49" i="8"/>
  <c r="E7" i="9" l="1"/>
  <c r="F7" i="9" s="1"/>
  <c r="G7" i="9"/>
  <c r="C30" i="8"/>
  <c r="C29" i="8"/>
  <c r="C52" i="8" l="1"/>
  <c r="C53" i="8"/>
  <c r="C59" i="8"/>
  <c r="C60" i="8"/>
  <c r="C61" i="8" s="1"/>
  <c r="C62" i="8" s="1"/>
  <c r="C54" i="8" l="1"/>
  <c r="C55" i="8"/>
  <c r="C56" i="8" l="1"/>
  <c r="C57" i="8" s="1"/>
  <c r="C66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<sst xmlns="http://schemas.openxmlformats.org/spreadsheetml/2006/main" count="124" uniqueCount="123">
  <si>
    <t>Configurações (padrões editáveis)</t>
  </si>
  <si>
    <t>Alíquotas PIS/COFINS (Regime Cumulativo - Lucro Presumido)</t>
  </si>
  <si>
    <t>PIS</t>
  </si>
  <si>
    <t>Padrão: 0,65%</t>
  </si>
  <si>
    <t>COFINS</t>
  </si>
  <si>
    <t>Padrão: 3,00%</t>
  </si>
  <si>
    <t>Alíquotas IRPJ/CSLL sobre base presumida</t>
  </si>
  <si>
    <t>IRPJ</t>
  </si>
  <si>
    <t>15% sobre base (mais adicional 10% acima de 60.000/trimestre)</t>
  </si>
  <si>
    <t>Adicional IRPJ</t>
  </si>
  <si>
    <t>10% sobre excedente da base acima de 60.000 por trimestre</t>
  </si>
  <si>
    <t>CSLL</t>
  </si>
  <si>
    <t>9% sobre base</t>
  </si>
  <si>
    <t>MEMÓRIA DE CÁLCULO - CONTROLE ANUAL (Limite, IRPJ, CSLL, PIS, COFINS)</t>
  </si>
  <si>
    <t>Trimestre</t>
  </si>
  <si>
    <t>Receita Trimestre</t>
  </si>
  <si>
    <t>Saldo Limite Entrada</t>
  </si>
  <si>
    <t>Limite Disponível</t>
  </si>
  <si>
    <t>Receita Dentro Limite</t>
  </si>
  <si>
    <t>Receita Excedente</t>
  </si>
  <si>
    <t>Saldo Limite Saída</t>
  </si>
  <si>
    <t>IRPJ Total</t>
  </si>
  <si>
    <t>CSLL Total</t>
  </si>
  <si>
    <t>PIS Total</t>
  </si>
  <si>
    <t>COFINS Total</t>
  </si>
  <si>
    <t>Total Tributos</t>
  </si>
  <si>
    <t>Limite base trimestre</t>
  </si>
  <si>
    <t>Limite anual</t>
  </si>
  <si>
    <t>Instrução</t>
  </si>
  <si>
    <t>Preencha apenas 'Receita Trimestre' (coluna B).</t>
  </si>
  <si>
    <t>APURAÇÃO LUCRO PRESUMIDO 2026 (IN RFB 2.306/2026) + PIS/COFINS – Multiatividades</t>
  </si>
  <si>
    <t>ENTRADAS (Preencha os campos amarelos)</t>
  </si>
  <si>
    <t>Trimestre (1 a 4)</t>
  </si>
  <si>
    <t>Ex.: 1=Jan/Fev/Mar</t>
  </si>
  <si>
    <t>Ano-calendário</t>
  </si>
  <si>
    <t>Padrão 2026</t>
  </si>
  <si>
    <t>Receita Bruta Trimestre (atividades sujeitas à presunção)</t>
  </si>
  <si>
    <t>Receitas Financeiras (tributação 100%)</t>
  </si>
  <si>
    <t>Ex.: rendimentos de aplicações</t>
  </si>
  <si>
    <t>Outras Receitas 100% (ganhos, etc.)</t>
  </si>
  <si>
    <t>Se aplicável</t>
  </si>
  <si>
    <t>(-) IRPJ Retido na Fonte (compensação)</t>
  </si>
  <si>
    <t>Informe se houver</t>
  </si>
  <si>
    <t>(-) CSLL Retida na Fonte (compensação)</t>
  </si>
  <si>
    <t>Limite Trimestral Base (R$)</t>
  </si>
  <si>
    <t>Padrão: 1.250.000</t>
  </si>
  <si>
    <t>Base adicional IRPJ por trimestre (R$)</t>
  </si>
  <si>
    <t>Padrão: 60.000</t>
  </si>
  <si>
    <t>Observação</t>
  </si>
  <si>
    <t>Multiatividades</t>
  </si>
  <si>
    <t>ATIVIDADES (Rateio proporcional do limite e presunção por atividade)</t>
  </si>
  <si>
    <t>Atividade</t>
  </si>
  <si>
    <t>Receita (R$)</t>
  </si>
  <si>
    <t>Presunção IRPJ</t>
  </si>
  <si>
    <t>Presunção CSLL</t>
  </si>
  <si>
    <t>Limite rateado</t>
  </si>
  <si>
    <t>Dentro limite</t>
  </si>
  <si>
    <t>Excedente</t>
  </si>
  <si>
    <t>Base IRPJ</t>
  </si>
  <si>
    <t>Base CSLL</t>
  </si>
  <si>
    <t>Atividade 2</t>
  </si>
  <si>
    <t>Atividade 3</t>
  </si>
  <si>
    <t>Atividade 4</t>
  </si>
  <si>
    <t>Atividade 5</t>
  </si>
  <si>
    <t>Atividade 6</t>
  </si>
  <si>
    <t>Total receita atividades</t>
  </si>
  <si>
    <t>Saldo limite transferido (trimestre anterior)</t>
  </si>
  <si>
    <t>Limite disponível do trimestre (base + saldo)</t>
  </si>
  <si>
    <t>Aplicar majoração CSLL? (a partir do 2º tri/2026)</t>
  </si>
  <si>
    <t>Base IRPJ (atividades) – total</t>
  </si>
  <si>
    <t>Base CSLL (atividades) – total</t>
  </si>
  <si>
    <t>Diferença (B6 - Soma Atividades)</t>
  </si>
  <si>
    <t>Status</t>
  </si>
  <si>
    <t>PIS/COFINS (Regime Cumulativo) – Apuração Mensal + Retenções</t>
  </si>
  <si>
    <t>Alíquota PIS</t>
  </si>
  <si>
    <t>Padrão 0,65%</t>
  </si>
  <si>
    <t>Alíquota COFINS</t>
  </si>
  <si>
    <t>Padrão 3,00%</t>
  </si>
  <si>
    <t>Item</t>
  </si>
  <si>
    <t>Mês 1</t>
  </si>
  <si>
    <t>Mês 2</t>
  </si>
  <si>
    <t>Mês 3</t>
  </si>
  <si>
    <t>Total Trimestre</t>
  </si>
  <si>
    <t>Receita Bruta</t>
  </si>
  <si>
    <t>(-) Vendas canceladas / devoluções</t>
  </si>
  <si>
    <t>(-) Descontos incondicionais</t>
  </si>
  <si>
    <t>Base PIS/COFINS</t>
  </si>
  <si>
    <t>PIS apurado</t>
  </si>
  <si>
    <t>COFINS apurada</t>
  </si>
  <si>
    <t>(-) PIS retido</t>
  </si>
  <si>
    <t>(-) COFINS retida</t>
  </si>
  <si>
    <t>PIS líquido</t>
  </si>
  <si>
    <t>COFINS líquida</t>
  </si>
  <si>
    <t>Total líquido (PIS+COFINS)</t>
  </si>
  <si>
    <t>IRPJ/CSLL – Cálculo Trimestral (Base por Atividade + Receitas 100%)</t>
  </si>
  <si>
    <t>Base IRPJ (atividades)</t>
  </si>
  <si>
    <t>Base IRPJ total (+ receitas 100%)</t>
  </si>
  <si>
    <t>IRPJ 15%</t>
  </si>
  <si>
    <t>Adicional IRPJ 10% (base &gt; 60.000)</t>
  </si>
  <si>
    <t>IRPJ bruto</t>
  </si>
  <si>
    <t>IRPJ líquido (deduz IRRF)</t>
  </si>
  <si>
    <t>Base CSLL (atividades)</t>
  </si>
  <si>
    <t>Base CSLL total (+ receitas 100%)</t>
  </si>
  <si>
    <t>CSLL 9%</t>
  </si>
  <si>
    <t>CSLL líquido (deduz CSRF)</t>
  </si>
  <si>
    <t>PIS líquido trimestre</t>
  </si>
  <si>
    <t>COFINS líquida trimestre</t>
  </si>
  <si>
    <t>TOTAL GERAL (IRPJ+CSLL+PIS+COFINS)</t>
  </si>
  <si>
    <t xml:space="preserve">Rateio do limite por atividade </t>
  </si>
  <si>
    <t>Checagem  (Entrada x Atividades)</t>
  </si>
  <si>
    <t>PRESTAÇÃO DE SERVIÇOS - (empreitada global)</t>
  </si>
  <si>
    <t>Soma das atividades</t>
  </si>
  <si>
    <t>OBSERVAÇÕES IMPORTANTES</t>
  </si>
  <si>
    <t>2. Planilha adaptada para vigência a partir de 01/04/2026.</t>
  </si>
  <si>
    <t>3. A majoração da CSLL passa a valer a partir do 2º trimestre de 2026.</t>
  </si>
  <si>
    <t>4. O saldo do limite trimestral pode ser transferido conforme IN RFB 2.306/2026.</t>
  </si>
  <si>
    <t>5. O adicional de IRPJ incide sobre base presumida acima de R$ 60.000 por trimestre.</t>
  </si>
  <si>
    <t>1. Só deve ser preenchidos os campos em amarelo.</t>
  </si>
  <si>
    <t xml:space="preserve"> DARF 2172</t>
  </si>
  <si>
    <t xml:space="preserve"> DARF 8109</t>
  </si>
  <si>
    <t>DARF 2372</t>
  </si>
  <si>
    <t>DARF 2089</t>
  </si>
  <si>
    <t xml:space="preserve">(-) Receitas não tributadas / alíquota zero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</si>
</sst>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" fontId="0" fillId="3" borderId="1" xfId="0" applyNumberFormat="1" applyFill="1" applyBorder="1"/>
    <xf numFmtId="0" fontId="0" fillId="5" borderId="1" xfId="0" applyFill="1" applyBorder="1"/>
    <xf numFmtId="0" fontId="2" fillId="0" borderId="1" xfId="0" applyFont="1" applyBorder="1"/>
    <xf numFmtId="43" fontId="0" fillId="3" borderId="1" xfId="1" applyFont="1" applyFill="1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43" fontId="0" fillId="5" borderId="1" xfId="1" applyFont="1" applyFill="1" applyBorder="1"/>
    <xf numFmtId="43" fontId="0" fillId="0" borderId="1" xfId="1" applyFont="1" applyBorder="1"/>
    <xf numFmtId="43" fontId="2" fillId="6" borderId="1" xfId="1" applyFont="1" applyFill="1" applyBorder="1"/>
    <xf numFmtId="43" fontId="0" fillId="0" borderId="0" xfId="1" applyFont="1"/>
    <xf numFmtId="10" fontId="0" fillId="3" borderId="1" xfId="2" applyNumberFormat="1" applyFont="1" applyFill="1" applyBorder="1"/>
    <xf numFmtId="10" fontId="0" fillId="0" borderId="0" xfId="2" applyNumberFormat="1" applyFont="1"/>
    <xf numFmtId="43" fontId="2" fillId="5" borderId="1" xfId="1" applyFont="1" applyFill="1" applyBorder="1"/>
    <xf numFmtId="0" fontId="5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3" fontId="0" fillId="3" borderId="1" xfId="1" applyFont="1" applyFill="1" applyBorder="1" applyProtection="1">
      <protection locked="0"/>
    </xf>
    <xf numFmtId="9" fontId="0" fillId="3" borderId="1" xfId="2" applyFont="1" applyFill="1" applyBorder="1" applyProtection="1">
      <protection locked="0"/>
    </xf>
    <xf numFmtId="0" fontId="6" fillId="7" borderId="3" xfId="0" applyFont="1" applyFill="1" applyBorder="1"/>
    <xf numFmtId="43" fontId="6" fillId="7" borderId="3" xfId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0" fillId="5" borderId="1" xfId="2" applyNumberFormat="1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6E66-AFE6-46DB-A23F-8F757D516D36}">
  <sheetPr>
    <tabColor theme="3" tint="9.9978637043366805E-2"/>
  </sheetPr>
  <dimension ref="B1:K74"/>
  <sheetViews>
    <sheetView showGridLines="0" showRowColHeaders="0" tabSelected="1" zoomScaleNormal="100" workbookViewId="0">
      <selection activeCell="B1" sqref="B1:D1"/>
    </sheetView>
  </sheetViews>
  <sheetFormatPr defaultRowHeight="15" x14ac:dyDescent="0.25"/>
  <cols>
    <col min="1" max="1" width="2.42578125" customWidth="1"/>
    <col min="2" max="2" width="51.85546875" customWidth="1"/>
    <col min="3" max="3" width="30.7109375" customWidth="1"/>
    <col min="4" max="4" width="28.85546875" bestFit="1" customWidth="1"/>
    <col min="5" max="10" width="30.7109375" customWidth="1"/>
    <col min="11" max="11" width="4.140625" customWidth="1"/>
  </cols>
  <sheetData>
    <row r="1" spans="2:11" ht="15" customHeight="1" x14ac:dyDescent="0.25">
      <c r="B1" s="29" t="s">
        <v>30</v>
      </c>
      <c r="C1" s="29"/>
      <c r="D1" s="29"/>
      <c r="E1" s="9"/>
      <c r="F1" s="9"/>
      <c r="G1" s="9"/>
      <c r="H1" s="9"/>
      <c r="I1" s="9"/>
      <c r="J1" s="9"/>
      <c r="K1" s="9"/>
    </row>
    <row r="3" spans="2:11" x14ac:dyDescent="0.25">
      <c r="B3" s="28" t="s">
        <v>31</v>
      </c>
      <c r="C3" s="28"/>
      <c r="D3" s="28"/>
      <c r="E3" s="10"/>
      <c r="F3" s="10"/>
      <c r="G3" s="10"/>
      <c r="H3" s="10"/>
      <c r="I3" s="10"/>
      <c r="J3" s="10"/>
      <c r="K3" s="10"/>
    </row>
    <row r="4" spans="2:11" x14ac:dyDescent="0.25">
      <c r="B4" s="2" t="s">
        <v>32</v>
      </c>
      <c r="C4" s="5">
        <v>1</v>
      </c>
      <c r="D4" s="2" t="s">
        <v>33</v>
      </c>
    </row>
    <row r="5" spans="2:11" x14ac:dyDescent="0.25">
      <c r="B5" s="2" t="s">
        <v>34</v>
      </c>
      <c r="C5" s="5">
        <v>2026</v>
      </c>
      <c r="D5" s="2" t="s">
        <v>35</v>
      </c>
    </row>
    <row r="6" spans="2:11" x14ac:dyDescent="0.25">
      <c r="B6" s="2" t="s">
        <v>36</v>
      </c>
      <c r="C6" s="21">
        <v>1099699.8400000001</v>
      </c>
      <c r="D6" s="2" t="s">
        <v>111</v>
      </c>
    </row>
    <row r="7" spans="2:11" x14ac:dyDescent="0.25">
      <c r="B7" s="2" t="s">
        <v>37</v>
      </c>
      <c r="C7" s="21">
        <v>0</v>
      </c>
      <c r="D7" s="2" t="s">
        <v>38</v>
      </c>
    </row>
    <row r="8" spans="2:11" x14ac:dyDescent="0.25">
      <c r="B8" s="2" t="s">
        <v>39</v>
      </c>
      <c r="C8" s="21">
        <v>0</v>
      </c>
      <c r="D8" s="2" t="s">
        <v>40</v>
      </c>
    </row>
    <row r="9" spans="2:11" x14ac:dyDescent="0.25">
      <c r="B9" s="2" t="s">
        <v>41</v>
      </c>
      <c r="C9" s="21">
        <v>8888.93</v>
      </c>
      <c r="D9" s="2" t="s">
        <v>42</v>
      </c>
    </row>
    <row r="10" spans="2:11" x14ac:dyDescent="0.25">
      <c r="B10" s="2" t="s">
        <v>43</v>
      </c>
      <c r="C10" s="21">
        <v>0</v>
      </c>
      <c r="D10" s="2" t="s">
        <v>42</v>
      </c>
    </row>
    <row r="11" spans="2:11" x14ac:dyDescent="0.25">
      <c r="B11" s="2" t="s">
        <v>44</v>
      </c>
      <c r="C11" s="21">
        <v>1250000</v>
      </c>
      <c r="D11" s="2" t="s">
        <v>45</v>
      </c>
    </row>
    <row r="12" spans="2:11" x14ac:dyDescent="0.25">
      <c r="B12" s="2" t="s">
        <v>46</v>
      </c>
      <c r="C12" s="21">
        <v>60000</v>
      </c>
      <c r="D12" s="2" t="s">
        <v>47</v>
      </c>
    </row>
    <row r="13" spans="2:11" hidden="1" x14ac:dyDescent="0.25">
      <c r="B13" s="2" t="s">
        <v>48</v>
      </c>
      <c r="C13" s="4" t="s">
        <v>49</v>
      </c>
      <c r="D13" s="2" t="s">
        <v>108</v>
      </c>
    </row>
    <row r="15" spans="2:11" ht="15" customHeight="1" x14ac:dyDescent="0.25">
      <c r="B15" s="28" t="s">
        <v>50</v>
      </c>
      <c r="C15" s="28"/>
      <c r="D15" s="28"/>
      <c r="E15" s="28"/>
      <c r="F15" s="28"/>
      <c r="G15" s="28"/>
      <c r="H15" s="28"/>
      <c r="I15" s="28"/>
      <c r="J15" s="28"/>
      <c r="K15" s="10"/>
    </row>
    <row r="16" spans="2:11" ht="33.75" customHeight="1" x14ac:dyDescent="0.25">
      <c r="B16" s="25" t="s">
        <v>51</v>
      </c>
      <c r="C16" s="25" t="s">
        <v>52</v>
      </c>
      <c r="D16" s="25" t="s">
        <v>53</v>
      </c>
      <c r="E16" s="25" t="s">
        <v>54</v>
      </c>
      <c r="F16" s="25" t="s">
        <v>55</v>
      </c>
      <c r="G16" s="25" t="s">
        <v>56</v>
      </c>
      <c r="H16" s="25" t="s">
        <v>57</v>
      </c>
      <c r="I16" s="25" t="s">
        <v>58</v>
      </c>
      <c r="J16" s="25" t="s">
        <v>59</v>
      </c>
    </row>
    <row r="17" spans="2:10" x14ac:dyDescent="0.25">
      <c r="B17" s="2" t="s">
        <v>110</v>
      </c>
      <c r="C17" s="21">
        <v>1099699.8400000001</v>
      </c>
      <c r="D17" s="22">
        <v>0.08</v>
      </c>
      <c r="E17" s="22">
        <v>0.12</v>
      </c>
      <c r="F17" s="11">
        <f t="shared" ref="F17:F22" si="0">IF($C$24&gt;0,$C$26*(C17/$C$24),0)</f>
        <v>1250000</v>
      </c>
      <c r="G17" s="11">
        <f t="shared" ref="G17:G22" si="1">MIN(C17,F17)</f>
        <v>1099699.8400000001</v>
      </c>
      <c r="H17" s="11">
        <f t="shared" ref="H17:H22" si="2">MAX(0,C17-G17)</f>
        <v>0</v>
      </c>
      <c r="I17" s="11">
        <f t="shared" ref="I17:I22" si="3">G17*D17 + H17*(D17*1.1)</f>
        <v>87975.987200000003</v>
      </c>
      <c r="J17" s="11">
        <f t="shared" ref="J17:J22" si="4">G17*E17 + H17*(IF($C$27="SIM",E17*1.1,E17))</f>
        <v>131963.98080000002</v>
      </c>
    </row>
    <row r="18" spans="2:10" x14ac:dyDescent="0.25">
      <c r="B18" s="2" t="s">
        <v>60</v>
      </c>
      <c r="C18" s="21">
        <v>0</v>
      </c>
      <c r="D18" s="22"/>
      <c r="E18" s="22"/>
      <c r="F18" s="11">
        <f t="shared" si="0"/>
        <v>0</v>
      </c>
      <c r="G18" s="11">
        <f t="shared" si="1"/>
        <v>0</v>
      </c>
      <c r="H18" s="11">
        <f t="shared" si="2"/>
        <v>0</v>
      </c>
      <c r="I18" s="11">
        <f t="shared" si="3"/>
        <v>0</v>
      </c>
      <c r="J18" s="11">
        <f t="shared" si="4"/>
        <v>0</v>
      </c>
    </row>
    <row r="19" spans="2:10" x14ac:dyDescent="0.25">
      <c r="B19" s="2" t="s">
        <v>61</v>
      </c>
      <c r="C19" s="21">
        <v>0</v>
      </c>
      <c r="D19" s="22"/>
      <c r="E19" s="22"/>
      <c r="F19" s="11">
        <f t="shared" si="0"/>
        <v>0</v>
      </c>
      <c r="G19" s="11">
        <f t="shared" si="1"/>
        <v>0</v>
      </c>
      <c r="H19" s="11">
        <f t="shared" si="2"/>
        <v>0</v>
      </c>
      <c r="I19" s="11">
        <f t="shared" si="3"/>
        <v>0</v>
      </c>
      <c r="J19" s="11">
        <f t="shared" si="4"/>
        <v>0</v>
      </c>
    </row>
    <row r="20" spans="2:10" x14ac:dyDescent="0.25">
      <c r="B20" s="2" t="s">
        <v>62</v>
      </c>
      <c r="C20" s="21">
        <v>0</v>
      </c>
      <c r="D20" s="22"/>
      <c r="E20" s="22"/>
      <c r="F20" s="11">
        <f t="shared" si="0"/>
        <v>0</v>
      </c>
      <c r="G20" s="11">
        <f t="shared" si="1"/>
        <v>0</v>
      </c>
      <c r="H20" s="11">
        <f t="shared" si="2"/>
        <v>0</v>
      </c>
      <c r="I20" s="11">
        <f t="shared" si="3"/>
        <v>0</v>
      </c>
      <c r="J20" s="11">
        <f t="shared" si="4"/>
        <v>0</v>
      </c>
    </row>
    <row r="21" spans="2:10" x14ac:dyDescent="0.25">
      <c r="B21" s="2" t="s">
        <v>63</v>
      </c>
      <c r="C21" s="21">
        <v>0</v>
      </c>
      <c r="D21" s="22"/>
      <c r="E21" s="22"/>
      <c r="F21" s="11">
        <f t="shared" si="0"/>
        <v>0</v>
      </c>
      <c r="G21" s="11">
        <f t="shared" si="1"/>
        <v>0</v>
      </c>
      <c r="H21" s="11">
        <f t="shared" si="2"/>
        <v>0</v>
      </c>
      <c r="I21" s="11">
        <f t="shared" si="3"/>
        <v>0</v>
      </c>
      <c r="J21" s="11">
        <f t="shared" si="4"/>
        <v>0</v>
      </c>
    </row>
    <row r="22" spans="2:10" x14ac:dyDescent="0.25">
      <c r="B22" s="2" t="s">
        <v>64</v>
      </c>
      <c r="C22" s="21">
        <v>0</v>
      </c>
      <c r="D22" s="22"/>
      <c r="E22" s="22"/>
      <c r="F22" s="11">
        <f t="shared" si="0"/>
        <v>0</v>
      </c>
      <c r="G22" s="11">
        <f t="shared" si="1"/>
        <v>0</v>
      </c>
      <c r="H22" s="11">
        <f t="shared" si="2"/>
        <v>0</v>
      </c>
      <c r="I22" s="11">
        <f t="shared" si="3"/>
        <v>0</v>
      </c>
      <c r="J22" s="11">
        <f t="shared" si="4"/>
        <v>0</v>
      </c>
    </row>
    <row r="24" spans="2:10" x14ac:dyDescent="0.25">
      <c r="B24" s="2" t="s">
        <v>65</v>
      </c>
      <c r="C24" s="11">
        <f>SUM(C17:C22)</f>
        <v>1099699.8400000001</v>
      </c>
      <c r="E24" s="2" t="s">
        <v>109</v>
      </c>
      <c r="F24" s="11">
        <f>F38</f>
        <v>1099699.8400000001</v>
      </c>
    </row>
    <row r="25" spans="2:10" x14ac:dyDescent="0.25">
      <c r="B25" s="2" t="s">
        <v>66</v>
      </c>
      <c r="C25" s="11" cm="1">
        <f t="array" ref="C25">IF($C$4=1,0,INDEX(Memoria_Anual!$G$4:$G$7,$C$4-1))</f>
        <v>0</v>
      </c>
      <c r="E25" s="2" t="s">
        <v>71</v>
      </c>
      <c r="F25" s="11">
        <f>$C$6-$C$24</f>
        <v>0</v>
      </c>
    </row>
    <row r="26" spans="2:10" x14ac:dyDescent="0.25">
      <c r="B26" s="2" t="s">
        <v>67</v>
      </c>
      <c r="C26" s="11">
        <f>$C$11+$C$25</f>
        <v>1250000</v>
      </c>
      <c r="E26" s="2" t="s">
        <v>72</v>
      </c>
      <c r="F26" s="11" t="str">
        <f>IF(ABS(F25)&lt;0.01,"OK","⚠ Divergência")</f>
        <v>OK</v>
      </c>
    </row>
    <row r="27" spans="2:10" x14ac:dyDescent="0.25">
      <c r="B27" s="2" t="s">
        <v>68</v>
      </c>
      <c r="C27" s="6" t="str">
        <f>IF(AND($C$5=2026,$C$4&gt;=2),"SIM","NÃO")</f>
        <v>NÃO</v>
      </c>
    </row>
    <row r="29" spans="2:10" x14ac:dyDescent="0.25">
      <c r="B29" s="2" t="s">
        <v>69</v>
      </c>
      <c r="C29" s="11">
        <f>SUM(I17:I22)</f>
        <v>87975.987200000003</v>
      </c>
    </row>
    <row r="30" spans="2:10" x14ac:dyDescent="0.25">
      <c r="B30" s="2" t="s">
        <v>70</v>
      </c>
      <c r="C30" s="11">
        <f>SUM(J17:J22)</f>
        <v>131963.98080000002</v>
      </c>
    </row>
    <row r="33" spans="2:11" ht="15" customHeight="1" x14ac:dyDescent="0.25">
      <c r="B33" s="28" t="s">
        <v>73</v>
      </c>
      <c r="C33" s="28"/>
      <c r="D33" s="28"/>
      <c r="E33" s="10"/>
      <c r="F33" s="10"/>
      <c r="G33" s="10"/>
      <c r="H33" s="10"/>
      <c r="I33" s="10"/>
      <c r="J33" s="10"/>
      <c r="K33" s="10"/>
    </row>
    <row r="34" spans="2:11" x14ac:dyDescent="0.25">
      <c r="B34" s="2" t="s">
        <v>74</v>
      </c>
      <c r="C34" s="27">
        <f>Config!B4</f>
        <v>6.4999999999999997E-3</v>
      </c>
      <c r="D34" s="2" t="s">
        <v>75</v>
      </c>
    </row>
    <row r="35" spans="2:11" x14ac:dyDescent="0.25">
      <c r="B35" s="2" t="s">
        <v>76</v>
      </c>
      <c r="C35" s="27">
        <f>Config!B5</f>
        <v>0.03</v>
      </c>
      <c r="D35" s="2" t="s">
        <v>77</v>
      </c>
    </row>
    <row r="37" spans="2:11" ht="39" customHeight="1" x14ac:dyDescent="0.25">
      <c r="B37" s="25" t="s">
        <v>78</v>
      </c>
      <c r="C37" s="25" t="s">
        <v>79</v>
      </c>
      <c r="D37" s="25" t="s">
        <v>80</v>
      </c>
      <c r="E37" s="25" t="s">
        <v>81</v>
      </c>
      <c r="F37" s="25" t="s">
        <v>82</v>
      </c>
    </row>
    <row r="38" spans="2:11" x14ac:dyDescent="0.25">
      <c r="B38" s="2" t="s">
        <v>83</v>
      </c>
      <c r="C38" s="21">
        <v>387397.1</v>
      </c>
      <c r="D38" s="21">
        <v>592491.04</v>
      </c>
      <c r="E38" s="21">
        <v>119811.7</v>
      </c>
      <c r="F38" s="12">
        <f t="shared" ref="F38:F48" si="5">SUM(C38:E38)</f>
        <v>1099699.8400000001</v>
      </c>
    </row>
    <row r="39" spans="2:11" x14ac:dyDescent="0.25">
      <c r="B39" s="2" t="s">
        <v>84</v>
      </c>
      <c r="C39" s="21">
        <v>0</v>
      </c>
      <c r="D39" s="21">
        <v>0</v>
      </c>
      <c r="E39" s="21">
        <v>0</v>
      </c>
      <c r="F39" s="12">
        <f t="shared" si="5"/>
        <v>0</v>
      </c>
    </row>
    <row r="40" spans="2:11" x14ac:dyDescent="0.25">
      <c r="B40" s="2" t="s">
        <v>85</v>
      </c>
      <c r="C40" s="21">
        <v>0</v>
      </c>
      <c r="D40" s="21">
        <v>0</v>
      </c>
      <c r="E40" s="21">
        <v>0</v>
      </c>
      <c r="F40" s="12">
        <f t="shared" si="5"/>
        <v>0</v>
      </c>
    </row>
    <row r="41" spans="2:11" x14ac:dyDescent="0.25">
      <c r="B41" s="2" t="s">
        <v>122</v>
      </c>
      <c r="C41" s="21">
        <v>0</v>
      </c>
      <c r="D41" s="21">
        <v>0</v>
      </c>
      <c r="E41" s="21">
        <v>0</v>
      </c>
      <c r="F41" s="12">
        <f t="shared" si="5"/>
        <v>0</v>
      </c>
    </row>
    <row r="42" spans="2:11" x14ac:dyDescent="0.25">
      <c r="B42" s="2" t="s">
        <v>86</v>
      </c>
      <c r="C42" s="11">
        <f>MAX(0,C38-(C39+C40+C41))</f>
        <v>387397.1</v>
      </c>
      <c r="D42" s="11">
        <f>MAX(0,D38-(D39+D40+D41))</f>
        <v>592491.04</v>
      </c>
      <c r="E42" s="11">
        <f>MAX(0,E38-(E39+E40+E41))</f>
        <v>119811.7</v>
      </c>
      <c r="F42" s="11">
        <f t="shared" si="5"/>
        <v>1099699.8400000001</v>
      </c>
    </row>
    <row r="43" spans="2:11" x14ac:dyDescent="0.25">
      <c r="B43" s="2" t="s">
        <v>87</v>
      </c>
      <c r="C43" s="11">
        <f>C42*$C$34</f>
        <v>2518.0811499999995</v>
      </c>
      <c r="D43" s="11">
        <f>D42*$C$34</f>
        <v>3851.1917600000002</v>
      </c>
      <c r="E43" s="11">
        <f>E42*$C$34</f>
        <v>778.77604999999994</v>
      </c>
      <c r="F43" s="11">
        <f t="shared" si="5"/>
        <v>7148.0489600000001</v>
      </c>
    </row>
    <row r="44" spans="2:11" x14ac:dyDescent="0.25">
      <c r="B44" s="2" t="s">
        <v>88</v>
      </c>
      <c r="C44" s="11">
        <f>C42*$C$35</f>
        <v>11621.912999999999</v>
      </c>
      <c r="D44" s="11">
        <f>D42*$C$35</f>
        <v>17774.731200000002</v>
      </c>
      <c r="E44" s="11">
        <f>E42*$C$35</f>
        <v>3594.3509999999997</v>
      </c>
      <c r="F44" s="11">
        <f t="shared" si="5"/>
        <v>32990.995200000005</v>
      </c>
    </row>
    <row r="45" spans="2:11" x14ac:dyDescent="0.25">
      <c r="B45" s="2" t="s">
        <v>89</v>
      </c>
      <c r="C45" s="21">
        <v>0</v>
      </c>
      <c r="D45" s="21">
        <v>0</v>
      </c>
      <c r="E45" s="21">
        <v>0</v>
      </c>
      <c r="F45" s="12">
        <f t="shared" si="5"/>
        <v>0</v>
      </c>
    </row>
    <row r="46" spans="2:11" x14ac:dyDescent="0.25">
      <c r="B46" s="2" t="s">
        <v>90</v>
      </c>
      <c r="C46" s="21">
        <v>0</v>
      </c>
      <c r="D46" s="21">
        <v>0</v>
      </c>
      <c r="E46" s="21">
        <v>0</v>
      </c>
      <c r="F46" s="12">
        <f t="shared" si="5"/>
        <v>0</v>
      </c>
    </row>
    <row r="47" spans="2:11" x14ac:dyDescent="0.25">
      <c r="B47" s="7" t="s">
        <v>91</v>
      </c>
      <c r="C47" s="17">
        <f t="shared" ref="C47:E48" si="6">MAX(0,C43-C45)</f>
        <v>2518.0811499999995</v>
      </c>
      <c r="D47" s="17">
        <f t="shared" si="6"/>
        <v>3851.1917600000002</v>
      </c>
      <c r="E47" s="17">
        <f t="shared" si="6"/>
        <v>778.77604999999994</v>
      </c>
      <c r="F47" s="17">
        <f t="shared" si="5"/>
        <v>7148.0489600000001</v>
      </c>
    </row>
    <row r="48" spans="2:11" x14ac:dyDescent="0.25">
      <c r="B48" s="7" t="s">
        <v>92</v>
      </c>
      <c r="C48" s="17">
        <f t="shared" si="6"/>
        <v>11621.912999999999</v>
      </c>
      <c r="D48" s="17">
        <f t="shared" si="6"/>
        <v>17774.731200000002</v>
      </c>
      <c r="E48" s="17">
        <f t="shared" si="6"/>
        <v>3594.3509999999997</v>
      </c>
      <c r="F48" s="17">
        <f t="shared" si="5"/>
        <v>32990.995200000005</v>
      </c>
    </row>
    <row r="49" spans="2:11" x14ac:dyDescent="0.25">
      <c r="B49" s="7" t="s">
        <v>93</v>
      </c>
      <c r="C49" s="17">
        <f>C47+C48</f>
        <v>14139.994149999999</v>
      </c>
      <c r="D49" s="17">
        <f>D47+D48</f>
        <v>21625.922960000004</v>
      </c>
      <c r="E49" s="17">
        <f>E47+E48</f>
        <v>4373.1270499999991</v>
      </c>
      <c r="F49" s="17">
        <f>F47+F48</f>
        <v>40139.044160000005</v>
      </c>
    </row>
    <row r="51" spans="2:11" ht="15" customHeight="1" x14ac:dyDescent="0.25">
      <c r="B51" s="28" t="s">
        <v>94</v>
      </c>
      <c r="C51" s="28"/>
      <c r="D51" s="28"/>
      <c r="E51" s="10"/>
      <c r="F51" s="10"/>
      <c r="G51" s="10"/>
      <c r="H51" s="10"/>
      <c r="I51" s="10"/>
      <c r="J51" s="10"/>
      <c r="K51" s="10"/>
    </row>
    <row r="52" spans="2:11" x14ac:dyDescent="0.25">
      <c r="B52" s="2" t="s">
        <v>95</v>
      </c>
      <c r="C52" s="11">
        <f>$C$29</f>
        <v>87975.987200000003</v>
      </c>
      <c r="D52" s="26"/>
    </row>
    <row r="53" spans="2:11" x14ac:dyDescent="0.25">
      <c r="B53" s="2" t="s">
        <v>96</v>
      </c>
      <c r="C53" s="11">
        <f>$C$29+$C$7+$C$8</f>
        <v>87975.987200000003</v>
      </c>
      <c r="D53" s="26"/>
    </row>
    <row r="54" spans="2:11" x14ac:dyDescent="0.25">
      <c r="B54" s="7" t="s">
        <v>97</v>
      </c>
      <c r="C54" s="17">
        <f>C53*Config!B8</f>
        <v>13196.398080000001</v>
      </c>
      <c r="D54" s="26"/>
    </row>
    <row r="55" spans="2:11" x14ac:dyDescent="0.25">
      <c r="B55" s="2" t="s">
        <v>98</v>
      </c>
      <c r="C55" s="11">
        <f>MAX(0,C53-$C$12)*Config!B9</f>
        <v>2797.5987200000004</v>
      </c>
      <c r="D55" s="26"/>
    </row>
    <row r="56" spans="2:11" x14ac:dyDescent="0.25">
      <c r="B56" s="2" t="s">
        <v>99</v>
      </c>
      <c r="C56" s="11">
        <f>C54+C55</f>
        <v>15993.996800000001</v>
      </c>
      <c r="D56" s="26"/>
    </row>
    <row r="57" spans="2:11" ht="15.75" x14ac:dyDescent="0.25">
      <c r="B57" s="23" t="s">
        <v>100</v>
      </c>
      <c r="C57" s="24">
        <f>MAX(0,C56-$C$9)</f>
        <v>7105.0668000000005</v>
      </c>
      <c r="D57" s="26" t="s">
        <v>121</v>
      </c>
    </row>
    <row r="58" spans="2:11" x14ac:dyDescent="0.25">
      <c r="B58" s="7"/>
      <c r="C58" s="17"/>
      <c r="D58" s="26"/>
    </row>
    <row r="59" spans="2:11" x14ac:dyDescent="0.25">
      <c r="B59" s="2" t="s">
        <v>101</v>
      </c>
      <c r="C59" s="11">
        <f>$C$30</f>
        <v>131963.98080000002</v>
      </c>
      <c r="D59" s="26"/>
    </row>
    <row r="60" spans="2:11" x14ac:dyDescent="0.25">
      <c r="B60" s="2" t="s">
        <v>102</v>
      </c>
      <c r="C60" s="11">
        <f>$C$30+$C$7+$C$8</f>
        <v>131963.98080000002</v>
      </c>
      <c r="D60" s="26"/>
    </row>
    <row r="61" spans="2:11" x14ac:dyDescent="0.25">
      <c r="B61" s="2" t="s">
        <v>103</v>
      </c>
      <c r="C61" s="11">
        <f>C60*Config!B10</f>
        <v>11876.758272000001</v>
      </c>
      <c r="D61" s="26"/>
    </row>
    <row r="62" spans="2:11" ht="15.75" x14ac:dyDescent="0.25">
      <c r="B62" s="23" t="s">
        <v>104</v>
      </c>
      <c r="C62" s="24">
        <f>MAX(0,C61-$C$10)</f>
        <v>11876.758272000001</v>
      </c>
      <c r="D62" s="26" t="s">
        <v>120</v>
      </c>
    </row>
    <row r="63" spans="2:11" x14ac:dyDescent="0.25">
      <c r="B63" s="2"/>
      <c r="C63" s="11"/>
      <c r="D63" s="26"/>
    </row>
    <row r="64" spans="2:11" ht="15.75" x14ac:dyDescent="0.25">
      <c r="B64" s="23" t="s">
        <v>105</v>
      </c>
      <c r="C64" s="24">
        <f>F47</f>
        <v>7148.0489600000001</v>
      </c>
      <c r="D64" s="26" t="s">
        <v>119</v>
      </c>
    </row>
    <row r="65" spans="2:4" ht="15.75" x14ac:dyDescent="0.25">
      <c r="B65" s="23" t="s">
        <v>106</v>
      </c>
      <c r="C65" s="24">
        <f>F48</f>
        <v>32990.995200000005</v>
      </c>
      <c r="D65" s="26" t="s">
        <v>118</v>
      </c>
    </row>
    <row r="66" spans="2:4" x14ac:dyDescent="0.25">
      <c r="B66" s="7" t="s">
        <v>107</v>
      </c>
      <c r="C66" s="13">
        <f>C57+C62+C64+C65</f>
        <v>59120.869232000005</v>
      </c>
      <c r="D66" s="26"/>
    </row>
    <row r="69" spans="2:4" x14ac:dyDescent="0.25">
      <c r="B69" s="18" t="s">
        <v>112</v>
      </c>
    </row>
    <row r="70" spans="2:4" x14ac:dyDescent="0.25">
      <c r="B70" t="s">
        <v>117</v>
      </c>
    </row>
    <row r="71" spans="2:4" x14ac:dyDescent="0.25">
      <c r="B71" t="s">
        <v>113</v>
      </c>
    </row>
    <row r="72" spans="2:4" x14ac:dyDescent="0.25">
      <c r="B72" t="s">
        <v>114</v>
      </c>
    </row>
    <row r="73" spans="2:4" x14ac:dyDescent="0.25">
      <c r="B73" t="s">
        <v>115</v>
      </c>
    </row>
    <row r="74" spans="2:4" x14ac:dyDescent="0.25">
      <c r="B74" t="s">
        <v>116</v>
      </c>
    </row>
  </sheetData>
  <mergeCells count="5">
    <mergeCell ref="B3:D3"/>
    <mergeCell ref="B1:D1"/>
    <mergeCell ref="B15:J15"/>
    <mergeCell ref="B33:D33"/>
    <mergeCell ref="B51:D51"/>
  </mergeCells>
  <phoneticPr fontId="7" type="noConversion"/>
  <dataValidations count="1">
    <dataValidation type="list" allowBlank="1" showInputMessage="1" showErrorMessage="1" sqref="C4" xr:uid="{AA7BF974-4C66-40A8-926B-4CD665716449}">
      <formula1>"1,2,3,4"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4DFB-842F-4A9D-9D0B-1D73CF5C8263}">
  <sheetPr>
    <tabColor theme="3" tint="9.9978637043366805E-2"/>
  </sheetPr>
  <dimension ref="A1:L14"/>
  <sheetViews>
    <sheetView showGridLines="0" workbookViewId="0">
      <pane ySplit="3" topLeftCell="A4" activePane="bottomLeft" state="frozen"/>
      <selection pane="bottomLeft" activeCell="C4" sqref="C4"/>
    </sheetView>
  </sheetViews>
  <sheetFormatPr defaultRowHeight="15" x14ac:dyDescent="0.25"/>
  <cols>
    <col min="1" max="1" width="10.85546875" customWidth="1"/>
    <col min="2" max="2" width="19" customWidth="1"/>
    <col min="3" max="3" width="14.42578125" customWidth="1"/>
    <col min="4" max="4" width="15.140625" customWidth="1"/>
    <col min="5" max="5" width="20.140625" customWidth="1"/>
    <col min="6" max="6" width="16.42578125" customWidth="1"/>
    <col min="7" max="7" width="13.28515625" bestFit="1" customWidth="1"/>
    <col min="8" max="8" width="11.85546875" customWidth="1"/>
    <col min="9" max="9" width="17" customWidth="1"/>
    <col min="10" max="10" width="13" customWidth="1"/>
    <col min="11" max="11" width="14.5703125" customWidth="1"/>
    <col min="12" max="12" width="20" customWidth="1"/>
    <col min="14" max="14" width="20.5703125" bestFit="1" customWidth="1"/>
    <col min="15" max="15" width="44" bestFit="1" customWidth="1"/>
  </cols>
  <sheetData>
    <row r="1" spans="1:12" ht="15" customHeight="1" x14ac:dyDescent="0.25">
      <c r="A1" s="30" t="s">
        <v>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3" spans="1:12" ht="30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</row>
    <row r="4" spans="1:12" x14ac:dyDescent="0.25">
      <c r="A4" s="2">
        <v>1</v>
      </c>
      <c r="B4" s="8">
        <v>1099699.8400000001</v>
      </c>
      <c r="C4" s="12">
        <f>0</f>
        <v>0</v>
      </c>
      <c r="D4" s="12">
        <f>$C$11+C4</f>
        <v>1250000</v>
      </c>
      <c r="E4" s="12">
        <f>MIN(B4,D4)</f>
        <v>1099699.8400000001</v>
      </c>
      <c r="F4" s="12">
        <f>MAX(0,B4-E4)</f>
        <v>0</v>
      </c>
      <c r="G4" s="12">
        <f>MAX(0,D4-B4)</f>
        <v>150300.15999999992</v>
      </c>
      <c r="H4" s="12"/>
      <c r="I4" s="12"/>
      <c r="J4" s="12"/>
      <c r="K4" s="12"/>
      <c r="L4" s="12">
        <f>SUM(H4:K4)</f>
        <v>0</v>
      </c>
    </row>
    <row r="5" spans="1:12" x14ac:dyDescent="0.25">
      <c r="A5" s="2">
        <v>2</v>
      </c>
      <c r="B5" s="8">
        <v>0</v>
      </c>
      <c r="C5" s="12">
        <f>G4</f>
        <v>150300.15999999992</v>
      </c>
      <c r="D5" s="12">
        <f>$C$11+C5</f>
        <v>1400300.16</v>
      </c>
      <c r="E5" s="12">
        <f>MIN(B5,D5)</f>
        <v>0</v>
      </c>
      <c r="F5" s="12">
        <f>MAX(0,B5-E5)</f>
        <v>0</v>
      </c>
      <c r="G5" s="12">
        <f>MAX(0,D5-B5)</f>
        <v>1400300.16</v>
      </c>
      <c r="H5" s="12"/>
      <c r="I5" s="12"/>
      <c r="J5" s="12"/>
      <c r="K5" s="12"/>
      <c r="L5" s="12">
        <f>SUM(H5:K5)</f>
        <v>0</v>
      </c>
    </row>
    <row r="6" spans="1:12" x14ac:dyDescent="0.25">
      <c r="A6" s="2">
        <v>3</v>
      </c>
      <c r="B6" s="8">
        <v>0</v>
      </c>
      <c r="C6" s="12">
        <f>G5</f>
        <v>1400300.16</v>
      </c>
      <c r="D6" s="12">
        <f>$C$11+C6</f>
        <v>2650300.16</v>
      </c>
      <c r="E6" s="12">
        <f>MIN(B6,D6)</f>
        <v>0</v>
      </c>
      <c r="F6" s="12">
        <f>MAX(0,B6-E6)</f>
        <v>0</v>
      </c>
      <c r="G6" s="12">
        <f>MAX(0,D6-B6)</f>
        <v>2650300.16</v>
      </c>
      <c r="H6" s="12"/>
      <c r="I6" s="12"/>
      <c r="J6" s="12"/>
      <c r="K6" s="12"/>
      <c r="L6" s="12">
        <f>SUM(H6:K6)</f>
        <v>0</v>
      </c>
    </row>
    <row r="7" spans="1:12" x14ac:dyDescent="0.25">
      <c r="A7" s="2">
        <v>4</v>
      </c>
      <c r="B7" s="8">
        <v>0</v>
      </c>
      <c r="C7" s="12">
        <f>G6</f>
        <v>2650300.16</v>
      </c>
      <c r="D7" s="12">
        <f>$C$11+C7</f>
        <v>3900300.16</v>
      </c>
      <c r="E7" s="12">
        <f>MIN(B7,D7)</f>
        <v>0</v>
      </c>
      <c r="F7" s="12">
        <f>MAX(0,B7-E7)</f>
        <v>0</v>
      </c>
      <c r="G7" s="12">
        <f>MAX(0,D7-B7)</f>
        <v>3900300.16</v>
      </c>
      <c r="H7" s="12"/>
      <c r="I7" s="12"/>
      <c r="J7" s="12"/>
      <c r="K7" s="12"/>
      <c r="L7" s="12">
        <f>SUM(H7:K7)</f>
        <v>0</v>
      </c>
    </row>
    <row r="11" spans="1:12" x14ac:dyDescent="0.25">
      <c r="A11" s="31" t="s">
        <v>26</v>
      </c>
      <c r="B11" s="31"/>
      <c r="C11" s="14">
        <v>1250000</v>
      </c>
    </row>
    <row r="12" spans="1:12" x14ac:dyDescent="0.25">
      <c r="A12" s="31" t="s">
        <v>27</v>
      </c>
      <c r="B12" s="31"/>
      <c r="C12" s="14">
        <v>5000000</v>
      </c>
    </row>
    <row r="13" spans="1:12" x14ac:dyDescent="0.25">
      <c r="A13" s="19"/>
      <c r="B13" s="20"/>
    </row>
    <row r="14" spans="1:12" x14ac:dyDescent="0.25">
      <c r="A14" s="31" t="s">
        <v>28</v>
      </c>
      <c r="B14" s="31"/>
      <c r="C14" t="s">
        <v>29</v>
      </c>
    </row>
  </sheetData>
  <mergeCells count="4">
    <mergeCell ref="A1:L1"/>
    <mergeCell ref="A14:B14"/>
    <mergeCell ref="A11:B11"/>
    <mergeCell ref="A12:B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8C5D-91C7-4CD5-8977-23D8D8E8963A}">
  <sheetPr>
    <tabColor theme="1"/>
  </sheetPr>
  <dimension ref="A1:C10"/>
  <sheetViews>
    <sheetView showGridLines="0" workbookViewId="0">
      <selection activeCell="B8" sqref="B8"/>
    </sheetView>
  </sheetViews>
  <sheetFormatPr defaultRowHeight="15" x14ac:dyDescent="0.25"/>
  <cols>
    <col min="1" max="1" width="58.28515625" bestFit="1" customWidth="1"/>
    <col min="2" max="2" width="7.140625" bestFit="1" customWidth="1"/>
    <col min="3" max="3" width="58.7109375" bestFit="1" customWidth="1"/>
  </cols>
  <sheetData>
    <row r="1" spans="1:3" x14ac:dyDescent="0.25">
      <c r="A1" s="30" t="s">
        <v>0</v>
      </c>
      <c r="B1" s="30"/>
      <c r="C1" s="30"/>
    </row>
    <row r="3" spans="1:3" x14ac:dyDescent="0.25">
      <c r="A3" s="1" t="s">
        <v>1</v>
      </c>
    </row>
    <row r="4" spans="1:3" x14ac:dyDescent="0.25">
      <c r="A4" s="2" t="s">
        <v>2</v>
      </c>
      <c r="B4" s="15">
        <v>6.4999999999999997E-3</v>
      </c>
      <c r="C4" s="2" t="s">
        <v>3</v>
      </c>
    </row>
    <row r="5" spans="1:3" x14ac:dyDescent="0.25">
      <c r="A5" s="2" t="s">
        <v>4</v>
      </c>
      <c r="B5" s="15">
        <v>0.03</v>
      </c>
      <c r="C5" s="2" t="s">
        <v>5</v>
      </c>
    </row>
    <row r="6" spans="1:3" x14ac:dyDescent="0.25">
      <c r="B6" s="16"/>
    </row>
    <row r="7" spans="1:3" x14ac:dyDescent="0.25">
      <c r="A7" s="1" t="s">
        <v>6</v>
      </c>
      <c r="B7" s="16"/>
    </row>
    <row r="8" spans="1:3" x14ac:dyDescent="0.25">
      <c r="A8" s="2" t="s">
        <v>7</v>
      </c>
      <c r="B8" s="15">
        <v>0.15</v>
      </c>
      <c r="C8" s="2" t="s">
        <v>8</v>
      </c>
    </row>
    <row r="9" spans="1:3" x14ac:dyDescent="0.25">
      <c r="A9" s="2" t="s">
        <v>9</v>
      </c>
      <c r="B9" s="15">
        <v>0.1</v>
      </c>
      <c r="C9" s="2" t="s">
        <v>10</v>
      </c>
    </row>
    <row r="10" spans="1:3" x14ac:dyDescent="0.25">
      <c r="A10" s="2" t="s">
        <v>11</v>
      </c>
      <c r="B10" s="15">
        <v>0.09</v>
      </c>
      <c r="C10" s="2" t="s">
        <v>12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Apuracao_Trimestre</vt:lpstr>
      <vt:lpstr>Memoria_Anual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Teixeira</dc:creator>
  <cp:lastModifiedBy>João Teixeira</cp:lastModifiedBy>
  <dcterms:created xsi:type="dcterms:W3CDTF">2026-05-21T13:24:36Z</dcterms:created>
  <dcterms:modified xsi:type="dcterms:W3CDTF">2026-05-21T20:13:56Z</dcterms:modified>
</cp:coreProperties>
</file>