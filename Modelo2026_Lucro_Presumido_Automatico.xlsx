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fran\Desktop\Planilhas\"/>
    </mc:Choice>
  </mc:AlternateContent>
  <xr:revisionPtr revIDLastSave="0" documentId="13_ncr:1_{087990CB-7EC8-4419-9190-A95260C71A32}" xr6:coauthVersionLast="47" xr6:coauthVersionMax="47" xr10:uidLastSave="{00000000-0000-0000-0000-000000000000}"/>
  <bookViews>
    <workbookView xWindow="20370" yWindow="-120" windowWidth="20730" windowHeight="11160" activeTab="2" xr2:uid="{00000000-000D-0000-FFFF-FFFF00000000}"/>
  </bookViews>
  <sheets>
    <sheet name="Capa" sheetId="4" r:id="rId1"/>
    <sheet name="O Problema" sheetId="5" r:id="rId2"/>
    <sheet name="Apuração 1° Trimestre " sheetId="1" r:id="rId3"/>
    <sheet name="Memória de Cálculo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C5" i="2" s="1"/>
  <c r="E4" i="2"/>
  <c r="D4" i="2"/>
  <c r="G4" i="2" s="1"/>
  <c r="C28" i="1"/>
  <c r="C27" i="1"/>
  <c r="C18" i="1"/>
  <c r="C14" i="1"/>
  <c r="C17" i="1" l="1"/>
  <c r="C16" i="1"/>
  <c r="C15" i="1"/>
  <c r="I4" i="2"/>
  <c r="H4" i="2"/>
  <c r="J4" i="2" s="1"/>
  <c r="F5" i="2"/>
  <c r="C6" i="2" s="1"/>
  <c r="E5" i="2"/>
  <c r="D5" i="2"/>
  <c r="G5" i="2" s="1"/>
  <c r="I5" i="2" l="1"/>
  <c r="H5" i="2"/>
  <c r="J5" i="2" s="1"/>
  <c r="F6" i="2"/>
  <c r="C7" i="2" s="1"/>
  <c r="E6" i="2"/>
  <c r="D6" i="2"/>
  <c r="G6" i="2" s="1"/>
  <c r="C29" i="1"/>
  <c r="C19" i="1"/>
  <c r="C30" i="1"/>
  <c r="C20" i="1"/>
  <c r="C21" i="1" l="1"/>
  <c r="C31" i="1"/>
  <c r="C32" i="1" s="1"/>
  <c r="F17" i="1" s="1"/>
  <c r="I6" i="2"/>
  <c r="H6" i="2"/>
  <c r="J6" i="2" s="1"/>
  <c r="F7" i="2"/>
  <c r="E7" i="2"/>
  <c r="D7" i="2"/>
  <c r="G7" i="2" s="1"/>
  <c r="I7" i="2" l="1"/>
  <c r="H7" i="2"/>
  <c r="J7" i="2" s="1"/>
  <c r="C23" i="1"/>
  <c r="C24" i="1" s="1"/>
  <c r="C22" i="1"/>
  <c r="C25" i="1" s="1"/>
  <c r="F15" i="1" s="1"/>
  <c r="F19" i="1" s="1"/>
</calcChain>
</file>

<file path=xl/sharedStrings.xml><?xml version="1.0" encoding="utf-8"?>
<sst xmlns="http://schemas.openxmlformats.org/spreadsheetml/2006/main" count="83" uniqueCount="81">
  <si>
    <t>APURAÇÃO LUCRO PRESUMIDO - LC 224/2025 + IN RFB 2.306/2026</t>
  </si>
  <si>
    <t>ENTRADAS</t>
  </si>
  <si>
    <t>Trimestre (2,3 ou 4)</t>
  </si>
  <si>
    <t>Receita Bruta Trimestre Atual</t>
  </si>
  <si>
    <t>Rendimentos de Aplicações Financeiras</t>
  </si>
  <si>
    <t>Saldo de Limite Transferido</t>
  </si>
  <si>
    <t>Percentual Presunção IRPJ</t>
  </si>
  <si>
    <t>Percentual Presunção CSLL</t>
  </si>
  <si>
    <t>Limite Base Trimestral</t>
  </si>
  <si>
    <t>CÁLCULOS</t>
  </si>
  <si>
    <t>Limite Efetivo do Trimestre</t>
  </si>
  <si>
    <t>Receita Dentro do Limite</t>
  </si>
  <si>
    <t>Receita Excedente</t>
  </si>
  <si>
    <t>Presunção Majorada IRPJ</t>
  </si>
  <si>
    <t>Base IRPJ Normal</t>
  </si>
  <si>
    <t>Base IRPJ Excedente</t>
  </si>
  <si>
    <t>Base Total IRPJ</t>
  </si>
  <si>
    <t>IRPJ 15%</t>
  </si>
  <si>
    <t>Excedente Adicional IRPJ</t>
  </si>
  <si>
    <t>Adicional IRPJ 10%</t>
  </si>
  <si>
    <t>IRPJ Total</t>
  </si>
  <si>
    <t>Aplicar Majoração CSLL?</t>
  </si>
  <si>
    <t>Presunção CSLL Aplicável</t>
  </si>
  <si>
    <t>Base CSLL Normal</t>
  </si>
  <si>
    <t>Base CSLL Excedente</t>
  </si>
  <si>
    <t>Base Total CSLL</t>
  </si>
  <si>
    <t>CSLL 9%</t>
  </si>
  <si>
    <t>(-) IRPJ Retido na Fonte (Compensação)</t>
  </si>
  <si>
    <t>IRPJ a Recolher (Líquido)</t>
  </si>
  <si>
    <t>(-) CSLL Retida na Fonte (Compensação)</t>
  </si>
  <si>
    <t>CSLL a Recolher (Líquido)</t>
  </si>
  <si>
    <t>TOTAL GERAL A RECOLHER (IRPJ + CSLL)</t>
  </si>
  <si>
    <t>OBSERVAÇÕES IMPORTANTES</t>
  </si>
  <si>
    <t>1. Planilha adaptada para vigência a partir de 01/04/2026.</t>
  </si>
  <si>
    <t>2. A majoração da CSLL passa a valer a partir do 2º trimestre de 2026.</t>
  </si>
  <si>
    <t>3. O saldo do limite trimestral pode ser transferido conforme IN RFB 2.306/2026.</t>
  </si>
  <si>
    <t>4. O adicional de IRPJ incide sobre base presumida acima de R$ 60.000 por trimestre.</t>
  </si>
  <si>
    <t>CONTROLE ANUAL DE LIMITES</t>
  </si>
  <si>
    <t>Trimestre</t>
  </si>
  <si>
    <t>Receita</t>
  </si>
  <si>
    <t>Limite Disponível</t>
  </si>
  <si>
    <t>Receita Dentro Limite</t>
  </si>
  <si>
    <t>Excedente</t>
  </si>
  <si>
    <t>Saldo Transferido</t>
  </si>
  <si>
    <t>Base IRPJ</t>
  </si>
  <si>
    <t>CSLL Total</t>
  </si>
  <si>
    <t>Total Tributos</t>
  </si>
  <si>
    <t>1º TRI</t>
  </si>
  <si>
    <t>2º TRI</t>
  </si>
  <si>
    <t>3º TRI</t>
  </si>
  <si>
    <t>4º TRI</t>
  </si>
  <si>
    <t>Preencha apenas a coluna RECEITA. Todo o cálculo será automático.</t>
  </si>
  <si>
    <t>Digite a receita bruta do trimestre</t>
  </si>
  <si>
    <r>
      <t xml:space="preserve">Digite a aliquota  </t>
    </r>
    <r>
      <rPr>
        <sz val="11"/>
        <color theme="1"/>
        <rFont val="Calibri"/>
        <family val="2"/>
        <scheme val="minor"/>
      </rPr>
      <t>Ex.: Serviços = 32%</t>
    </r>
  </si>
  <si>
    <r>
      <t xml:space="preserve">Digite a aliquota </t>
    </r>
    <r>
      <rPr>
        <sz val="11"/>
        <color theme="1"/>
        <rFont val="Calibri"/>
        <family val="2"/>
        <scheme val="minor"/>
      </rPr>
      <t xml:space="preserve"> Ex.: Serviços = 32%</t>
    </r>
  </si>
  <si>
    <t>TOTAIS</t>
  </si>
  <si>
    <t>Digite</t>
  </si>
  <si>
    <t>Saldo de Limite para Próximo Trimestre</t>
  </si>
  <si>
    <t>Automação Tributária — Lucro Presumido 2026</t>
  </si>
  <si>
    <t>📌 Adequado à LC 224/2025 e IN RFB 2.306/2026</t>
  </si>
  <si>
    <t>📌 Apuração automatizada de IRPJ e CSLL</t>
  </si>
  <si>
    <t>📌 Controle de excedente trimestral</t>
  </si>
  <si>
    <t>📌 Gestão de retenções e receitas financeiras</t>
  </si>
  <si>
    <t>📌 Estruturação fiscal com Excel Avançado</t>
  </si>
  <si>
    <t>Excel Avançado • Automação Contábil • Controladoria • BI Financeiro</t>
  </si>
  <si>
    <t>O desafio criado pela LC 224/2025</t>
  </si>
  <si>
    <t>A alteração da legislação trouxe novas complexidades para empresas do Lucro Presumido:</t>
  </si>
  <si>
    <t>Principais impactos:</t>
  </si>
  <si>
    <t>✔ Majoração da presunção sobre excedente trimestral</t>
  </si>
  <si>
    <t>✔ Controle acumulado entre trimestres</t>
  </si>
  <si>
    <t>✔ Regras diferentes para IRPJ e CSLL</t>
  </si>
  <si>
    <t>✔ Necessidade de controle de retenções</t>
  </si>
  <si>
    <t>✔ Integração de receitas financeiras</t>
  </si>
  <si>
    <t>✔ Maior risco operacional e fiscal</t>
  </si>
  <si>
    <t>Solução desenvolvida</t>
  </si>
  <si>
    <t>Foi criado um modelo automatizado em Excel para:</t>
  </si>
  <si>
    <t>reduzir erros manuais</t>
  </si>
  <si>
    <t>automatizar cálculos tributários</t>
  </si>
  <si>
    <t>padronizar a apuração</t>
  </si>
  <si>
    <t>facilitar análises gerenciais</t>
  </si>
  <si>
    <t>melhorar a rastreabilidade fiscal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</si>
</sst>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\R\$\ #,##0.00"/>
  </numFmts>
  <fonts count="16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color rgb="FFFFC00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22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F81BD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auto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/>
      <top style="thin">
        <color theme="1"/>
      </top>
      <bottom style="thin">
        <color auto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1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/>
      </bottom>
      <diagonal/>
    </border>
    <border>
      <left style="thin">
        <color theme="1" tint="0.499984740745262"/>
      </left>
      <right style="thin">
        <color theme="0" tint="-0.14999847407452621"/>
      </right>
      <top/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theme="0" tint="-4.9989318521683403E-2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57">
    <xf numFmtId="0" fontId="0" fillId="0" borderId="0" xfId="0"/>
    <xf numFmtId="0" fontId="2" fillId="3" borderId="0" xfId="0" applyFont="1" applyFill="1"/>
    <xf numFmtId="0" fontId="0" fillId="0" borderId="1" xfId="0" applyBorder="1"/>
    <xf numFmtId="164" fontId="0" fillId="0" borderId="1" xfId="0" applyNumberFormat="1" applyBorder="1"/>
    <xf numFmtId="0" fontId="2" fillId="0" borderId="0" xfId="0" applyFont="1"/>
    <xf numFmtId="0" fontId="2" fillId="3" borderId="1" xfId="0" applyFont="1" applyFill="1" applyBorder="1"/>
    <xf numFmtId="0" fontId="0" fillId="0" borderId="3" xfId="0" applyBorder="1"/>
    <xf numFmtId="0" fontId="3" fillId="0" borderId="0" xfId="0" applyFont="1"/>
    <xf numFmtId="0" fontId="5" fillId="0" borderId="0" xfId="0" applyFont="1" applyAlignment="1">
      <alignment horizontal="left" indent="5"/>
    </xf>
    <xf numFmtId="43" fontId="3" fillId="0" borderId="2" xfId="1" applyFont="1" applyFill="1" applyBorder="1"/>
    <xf numFmtId="0" fontId="0" fillId="0" borderId="6" xfId="0" applyBorder="1"/>
    <xf numFmtId="0" fontId="1" fillId="4" borderId="8" xfId="0" applyFont="1" applyFill="1" applyBorder="1"/>
    <xf numFmtId="0" fontId="0" fillId="0" borderId="7" xfId="0" applyBorder="1"/>
    <xf numFmtId="43" fontId="1" fillId="4" borderId="8" xfId="1" applyFont="1" applyFill="1" applyBorder="1"/>
    <xf numFmtId="0" fontId="0" fillId="0" borderId="9" xfId="0" applyBorder="1"/>
    <xf numFmtId="0" fontId="1" fillId="4" borderId="10" xfId="0" applyFont="1" applyFill="1" applyBorder="1"/>
    <xf numFmtId="43" fontId="1" fillId="4" borderId="10" xfId="1" applyFont="1" applyFill="1" applyBorder="1"/>
    <xf numFmtId="0" fontId="0" fillId="5" borderId="5" xfId="0" applyFill="1" applyBorder="1"/>
    <xf numFmtId="0" fontId="0" fillId="5" borderId="4" xfId="0" applyFill="1" applyBorder="1"/>
    <xf numFmtId="0" fontId="0" fillId="0" borderId="12" xfId="0" applyBorder="1"/>
    <xf numFmtId="0" fontId="2" fillId="3" borderId="11" xfId="0" applyFont="1" applyFill="1" applyBorder="1"/>
    <xf numFmtId="0" fontId="0" fillId="5" borderId="14" xfId="0" applyFill="1" applyBorder="1"/>
    <xf numFmtId="0" fontId="0" fillId="5" borderId="15" xfId="0" applyFill="1" applyBorder="1"/>
    <xf numFmtId="0" fontId="0" fillId="5" borderId="16" xfId="0" applyFill="1" applyBorder="1"/>
    <xf numFmtId="0" fontId="0" fillId="5" borderId="13" xfId="0" applyFill="1" applyBorder="1"/>
    <xf numFmtId="0" fontId="0" fillId="5" borderId="0" xfId="0" applyFill="1"/>
    <xf numFmtId="0" fontId="0" fillId="0" borderId="19" xfId="0" applyBorder="1"/>
    <xf numFmtId="0" fontId="0" fillId="0" borderId="15" xfId="0" applyBorder="1"/>
    <xf numFmtId="4" fontId="0" fillId="5" borderId="13" xfId="0" applyNumberFormat="1" applyFill="1" applyBorder="1"/>
    <xf numFmtId="0" fontId="0" fillId="0" borderId="21" xfId="0" applyBorder="1"/>
    <xf numFmtId="164" fontId="0" fillId="5" borderId="13" xfId="0" applyNumberFormat="1" applyFill="1" applyBorder="1"/>
    <xf numFmtId="0" fontId="0" fillId="0" borderId="22" xfId="0" applyBorder="1"/>
    <xf numFmtId="0" fontId="2" fillId="0" borderId="22" xfId="0" applyFont="1" applyBorder="1"/>
    <xf numFmtId="43" fontId="0" fillId="0" borderId="18" xfId="1" applyFont="1" applyFill="1" applyBorder="1" applyProtection="1">
      <protection locked="0"/>
    </xf>
    <xf numFmtId="43" fontId="0" fillId="0" borderId="13" xfId="1" applyFont="1" applyFill="1" applyBorder="1" applyProtection="1">
      <protection locked="0"/>
    </xf>
    <xf numFmtId="10" fontId="0" fillId="0" borderId="17" xfId="0" applyNumberFormat="1" applyBorder="1" applyProtection="1">
      <protection locked="0"/>
    </xf>
    <xf numFmtId="10" fontId="0" fillId="0" borderId="13" xfId="0" applyNumberFormat="1" applyBorder="1" applyProtection="1">
      <protection locked="0"/>
    </xf>
    <xf numFmtId="43" fontId="0" fillId="0" borderId="20" xfId="1" applyFont="1" applyFill="1" applyBorder="1" applyProtection="1">
      <protection locked="0"/>
    </xf>
    <xf numFmtId="43" fontId="0" fillId="0" borderId="4" xfId="1" applyFont="1" applyFill="1" applyBorder="1" applyProtection="1">
      <protection locked="0"/>
    </xf>
    <xf numFmtId="43" fontId="0" fillId="0" borderId="5" xfId="1" applyFont="1" applyFill="1" applyBorder="1" applyProtection="1">
      <protection locked="0"/>
    </xf>
    <xf numFmtId="0" fontId="0" fillId="6" borderId="13" xfId="0" applyFill="1" applyBorder="1"/>
    <xf numFmtId="4" fontId="0" fillId="6" borderId="13" xfId="0" applyNumberFormat="1" applyFill="1" applyBorder="1"/>
    <xf numFmtId="0" fontId="5" fillId="0" borderId="0" xfId="0" applyFont="1"/>
    <xf numFmtId="0" fontId="1" fillId="2" borderId="0" xfId="0" applyFont="1" applyFill="1" applyAlignment="1">
      <alignment horizontal="center"/>
    </xf>
    <xf numFmtId="0" fontId="0" fillId="7" borderId="0" xfId="0" applyFill="1"/>
    <xf numFmtId="0" fontId="0" fillId="8" borderId="0" xfId="0" applyFill="1"/>
    <xf numFmtId="0" fontId="9" fillId="8" borderId="0" xfId="0" applyFont="1" applyFill="1"/>
    <xf numFmtId="0" fontId="7" fillId="8" borderId="0" xfId="0" applyFont="1" applyFill="1" applyAlignment="1">
      <alignment vertical="center"/>
    </xf>
    <xf numFmtId="0" fontId="8" fillId="8" borderId="0" xfId="0" applyFont="1" applyFill="1"/>
    <xf numFmtId="0" fontId="6" fillId="8" borderId="0" xfId="0" applyFont="1" applyFill="1"/>
    <xf numFmtId="0" fontId="10" fillId="8" borderId="0" xfId="0" applyFont="1" applyFill="1"/>
    <xf numFmtId="0" fontId="12" fillId="8" borderId="0" xfId="0" applyFont="1" applyFill="1"/>
    <xf numFmtId="0" fontId="13" fillId="8" borderId="0" xfId="0" applyFont="1" applyFill="1"/>
    <xf numFmtId="0" fontId="11" fillId="9" borderId="0" xfId="0" applyFont="1" applyFill="1"/>
    <xf numFmtId="0" fontId="7" fillId="10" borderId="0" xfId="0" applyFont="1" applyFill="1"/>
    <xf numFmtId="0" fontId="14" fillId="8" borderId="23" xfId="0" applyFont="1" applyFill="1" applyBorder="1"/>
    <xf numFmtId="0" fontId="15" fillId="8" borderId="23" xfId="0" applyFont="1" applyFill="1" applyBorder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282564</xdr:colOff>
      <xdr:row>9</xdr:row>
      <xdr:rowOff>93020</xdr:rowOff>
    </xdr:from>
    <xdr:to>
      <xdr:col>6</xdr:col>
      <xdr:colOff>216622</xdr:colOff>
      <xdr:row>12</xdr:row>
      <xdr:rowOff>263769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651FC902-4D17-1DF7-1DED-B5B65F83DC00}"/>
            </a:ext>
          </a:extLst>
        </xdr:cNvPr>
        <xdr:cNvSpPr/>
      </xdr:nvSpPr>
      <xdr:spPr>
        <a:xfrm>
          <a:off x="2270390" y="1807520"/>
          <a:ext cx="1159884" cy="1065271"/>
        </a:xfrm>
        <a:prstGeom prst="ellipse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IRPJ</a:t>
          </a:r>
        </a:p>
        <a:p>
          <a:pPr algn="ctr"/>
          <a:r>
            <a:rPr lang="pt-BR" sz="2000"/>
            <a:t>CSLL</a:t>
          </a:r>
        </a:p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123825</xdr:colOff>
      <xdr:row>15</xdr:row>
      <xdr:rowOff>66675</xdr:rowOff>
    </xdr:from>
    <xdr:to>
      <xdr:col>12</xdr:col>
      <xdr:colOff>504825</xdr:colOff>
      <xdr:row>16</xdr:row>
      <xdr:rowOff>9525</xdr:rowOff>
    </xdr:to>
    <xdr:sp macro="" textlink="">
      <xdr:nvSpPr>
        <xdr:cNvPr id="2" name="Seta: para a Direita 1">
          <a:extLst>
            <a:ext uri="{FF2B5EF4-FFF2-40B4-BE49-F238E27FC236}">
              <a16:creationId xmlns:a16="http://schemas.microsoft.com/office/drawing/2014/main" id="{A4FCB624-3E5B-81B7-3DCC-032156782810}"/>
            </a:ext>
          </a:extLst>
        </xdr:cNvPr>
        <xdr:cNvSpPr/>
      </xdr:nvSpPr>
      <xdr:spPr>
        <a:xfrm>
          <a:off x="7439025" y="3571875"/>
          <a:ext cx="381000" cy="238125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142875</xdr:colOff>
      <xdr:row>16</xdr:row>
      <xdr:rowOff>38100</xdr:rowOff>
    </xdr:from>
    <xdr:to>
      <xdr:col>12</xdr:col>
      <xdr:colOff>523875</xdr:colOff>
      <xdr:row>16</xdr:row>
      <xdr:rowOff>276225</xdr:rowOff>
    </xdr:to>
    <xdr:sp macro="" textlink="">
      <xdr:nvSpPr>
        <xdr:cNvPr id="3" name="Seta: para a Direita 2">
          <a:extLst>
            <a:ext uri="{FF2B5EF4-FFF2-40B4-BE49-F238E27FC236}">
              <a16:creationId xmlns:a16="http://schemas.microsoft.com/office/drawing/2014/main" id="{FA74C02D-AB1B-407F-8C78-53B68845C5ED}"/>
            </a:ext>
          </a:extLst>
        </xdr:cNvPr>
        <xdr:cNvSpPr/>
      </xdr:nvSpPr>
      <xdr:spPr>
        <a:xfrm>
          <a:off x="7458075" y="3838575"/>
          <a:ext cx="381000" cy="238125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152400</xdr:colOff>
      <xdr:row>17</xdr:row>
      <xdr:rowOff>38100</xdr:rowOff>
    </xdr:from>
    <xdr:to>
      <xdr:col>12</xdr:col>
      <xdr:colOff>533400</xdr:colOff>
      <xdr:row>17</xdr:row>
      <xdr:rowOff>276225</xdr:rowOff>
    </xdr:to>
    <xdr:sp macro="" textlink="">
      <xdr:nvSpPr>
        <xdr:cNvPr id="4" name="Seta: para a Direita 3">
          <a:extLst>
            <a:ext uri="{FF2B5EF4-FFF2-40B4-BE49-F238E27FC236}">
              <a16:creationId xmlns:a16="http://schemas.microsoft.com/office/drawing/2014/main" id="{29C18A44-B937-4959-AEBE-CC0C8EB4D782}"/>
            </a:ext>
          </a:extLst>
        </xdr:cNvPr>
        <xdr:cNvSpPr/>
      </xdr:nvSpPr>
      <xdr:spPr>
        <a:xfrm>
          <a:off x="7467600" y="4133850"/>
          <a:ext cx="381000" cy="238125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171450</xdr:colOff>
      <xdr:row>18</xdr:row>
      <xdr:rowOff>57150</xdr:rowOff>
    </xdr:from>
    <xdr:to>
      <xdr:col>12</xdr:col>
      <xdr:colOff>552450</xdr:colOff>
      <xdr:row>19</xdr:row>
      <xdr:rowOff>0</xdr:rowOff>
    </xdr:to>
    <xdr:sp macro="" textlink="">
      <xdr:nvSpPr>
        <xdr:cNvPr id="5" name="Seta: para a Direita 4">
          <a:extLst>
            <a:ext uri="{FF2B5EF4-FFF2-40B4-BE49-F238E27FC236}">
              <a16:creationId xmlns:a16="http://schemas.microsoft.com/office/drawing/2014/main" id="{42C808FC-35BD-41CE-83D3-31152E13C2C8}"/>
            </a:ext>
          </a:extLst>
        </xdr:cNvPr>
        <xdr:cNvSpPr/>
      </xdr:nvSpPr>
      <xdr:spPr>
        <a:xfrm>
          <a:off x="7486650" y="4448175"/>
          <a:ext cx="381000" cy="238125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180975</xdr:colOff>
      <xdr:row>19</xdr:row>
      <xdr:rowOff>66675</xdr:rowOff>
    </xdr:from>
    <xdr:to>
      <xdr:col>12</xdr:col>
      <xdr:colOff>561975</xdr:colOff>
      <xdr:row>20</xdr:row>
      <xdr:rowOff>9525</xdr:rowOff>
    </xdr:to>
    <xdr:sp macro="" textlink="">
      <xdr:nvSpPr>
        <xdr:cNvPr id="6" name="Seta: para a Direita 5">
          <a:extLst>
            <a:ext uri="{FF2B5EF4-FFF2-40B4-BE49-F238E27FC236}">
              <a16:creationId xmlns:a16="http://schemas.microsoft.com/office/drawing/2014/main" id="{3CD8A8A0-122B-4E17-B8F4-7683E12BC1A4}"/>
            </a:ext>
          </a:extLst>
        </xdr:cNvPr>
        <xdr:cNvSpPr/>
      </xdr:nvSpPr>
      <xdr:spPr>
        <a:xfrm>
          <a:off x="7496175" y="4752975"/>
          <a:ext cx="381000" cy="238125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5</xdr:row>
      <xdr:rowOff>9525</xdr:rowOff>
    </xdr:from>
    <xdr:to>
      <xdr:col>3</xdr:col>
      <xdr:colOff>295275</xdr:colOff>
      <xdr:row>5</xdr:row>
      <xdr:rowOff>161926</xdr:rowOff>
    </xdr:to>
    <xdr:sp macro="" textlink="">
      <xdr:nvSpPr>
        <xdr:cNvPr id="5" name="Seta: para a Esquerda 4">
          <a:extLst>
            <a:ext uri="{FF2B5EF4-FFF2-40B4-BE49-F238E27FC236}">
              <a16:creationId xmlns:a16="http://schemas.microsoft.com/office/drawing/2014/main" id="{AC326447-4B15-4792-B49F-5BA294810035}"/>
            </a:ext>
          </a:extLst>
        </xdr:cNvPr>
        <xdr:cNvSpPr/>
      </xdr:nvSpPr>
      <xdr:spPr>
        <a:xfrm>
          <a:off x="4714875" y="590550"/>
          <a:ext cx="276225" cy="152401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19050</xdr:colOff>
      <xdr:row>8</xdr:row>
      <xdr:rowOff>9525</xdr:rowOff>
    </xdr:from>
    <xdr:to>
      <xdr:col>3</xdr:col>
      <xdr:colOff>295275</xdr:colOff>
      <xdr:row>8</xdr:row>
      <xdr:rowOff>161926</xdr:rowOff>
    </xdr:to>
    <xdr:sp macro="" textlink="">
      <xdr:nvSpPr>
        <xdr:cNvPr id="6" name="Seta: para a Esquerda 5">
          <a:extLst>
            <a:ext uri="{FF2B5EF4-FFF2-40B4-BE49-F238E27FC236}">
              <a16:creationId xmlns:a16="http://schemas.microsoft.com/office/drawing/2014/main" id="{F1E9053F-ACBF-4FE5-8F5C-D91B60FCD024}"/>
            </a:ext>
          </a:extLst>
        </xdr:cNvPr>
        <xdr:cNvSpPr/>
      </xdr:nvSpPr>
      <xdr:spPr>
        <a:xfrm>
          <a:off x="5543550" y="1162050"/>
          <a:ext cx="276225" cy="152401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19050</xdr:colOff>
      <xdr:row>9</xdr:row>
      <xdr:rowOff>38100</xdr:rowOff>
    </xdr:from>
    <xdr:to>
      <xdr:col>3</xdr:col>
      <xdr:colOff>295275</xdr:colOff>
      <xdr:row>10</xdr:row>
      <xdr:rowOff>1</xdr:rowOff>
    </xdr:to>
    <xdr:sp macro="" textlink="">
      <xdr:nvSpPr>
        <xdr:cNvPr id="7" name="Seta: para a Esquerda 6">
          <a:extLst>
            <a:ext uri="{FF2B5EF4-FFF2-40B4-BE49-F238E27FC236}">
              <a16:creationId xmlns:a16="http://schemas.microsoft.com/office/drawing/2014/main" id="{FD2E38CB-E533-45BE-BF91-26BCCBD88E3D}"/>
            </a:ext>
          </a:extLst>
        </xdr:cNvPr>
        <xdr:cNvSpPr/>
      </xdr:nvSpPr>
      <xdr:spPr>
        <a:xfrm>
          <a:off x="5543550" y="1381125"/>
          <a:ext cx="276225" cy="152401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38100</xdr:colOff>
      <xdr:row>13</xdr:row>
      <xdr:rowOff>38100</xdr:rowOff>
    </xdr:from>
    <xdr:to>
      <xdr:col>6</xdr:col>
      <xdr:colOff>314325</xdr:colOff>
      <xdr:row>14</xdr:row>
      <xdr:rowOff>1</xdr:rowOff>
    </xdr:to>
    <xdr:sp macro="" textlink="">
      <xdr:nvSpPr>
        <xdr:cNvPr id="11" name="Seta: para a Esquerda 10">
          <a:extLst>
            <a:ext uri="{FF2B5EF4-FFF2-40B4-BE49-F238E27FC236}">
              <a16:creationId xmlns:a16="http://schemas.microsoft.com/office/drawing/2014/main" id="{4577B6D8-FF58-4E68-ABA1-A5D9B3E5E69B}"/>
            </a:ext>
          </a:extLst>
        </xdr:cNvPr>
        <xdr:cNvSpPr/>
      </xdr:nvSpPr>
      <xdr:spPr>
        <a:xfrm>
          <a:off x="9906000" y="2333625"/>
          <a:ext cx="276225" cy="152401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38100</xdr:colOff>
      <xdr:row>15</xdr:row>
      <xdr:rowOff>28575</xdr:rowOff>
    </xdr:from>
    <xdr:to>
      <xdr:col>6</xdr:col>
      <xdr:colOff>314325</xdr:colOff>
      <xdr:row>15</xdr:row>
      <xdr:rowOff>180976</xdr:rowOff>
    </xdr:to>
    <xdr:sp macro="" textlink="">
      <xdr:nvSpPr>
        <xdr:cNvPr id="12" name="Seta: para a Esquerda 11">
          <a:extLst>
            <a:ext uri="{FF2B5EF4-FFF2-40B4-BE49-F238E27FC236}">
              <a16:creationId xmlns:a16="http://schemas.microsoft.com/office/drawing/2014/main" id="{FF1497EF-E444-4AF2-8DBC-27ACE3BE4C2A}"/>
            </a:ext>
          </a:extLst>
        </xdr:cNvPr>
        <xdr:cNvSpPr/>
      </xdr:nvSpPr>
      <xdr:spPr>
        <a:xfrm>
          <a:off x="9906000" y="2714625"/>
          <a:ext cx="276225" cy="152401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0A5E8-8F1F-4F35-9F77-E5BC37FD7EFD}">
  <sheetPr>
    <tabColor theme="3"/>
  </sheetPr>
  <dimension ref="A1:T42"/>
  <sheetViews>
    <sheetView showGridLines="0" topLeftCell="D7" zoomScale="130" zoomScaleNormal="130" workbookViewId="0">
      <selection activeCell="F17" sqref="F17"/>
    </sheetView>
  </sheetViews>
  <sheetFormatPr defaultRowHeight="15" x14ac:dyDescent="0.25"/>
  <cols>
    <col min="2" max="2" width="2.28515625" customWidth="1"/>
    <col min="8" max="8" width="72.85546875" bestFit="1" customWidth="1"/>
    <col min="9" max="9" width="71.140625" bestFit="1" customWidth="1"/>
  </cols>
  <sheetData>
    <row r="1" spans="1:20" x14ac:dyDescent="0.25">
      <c r="A1" s="45"/>
      <c r="B1" s="45"/>
      <c r="C1" s="45"/>
      <c r="D1" s="45"/>
      <c r="E1" s="45"/>
      <c r="F1" s="45"/>
      <c r="G1" s="45"/>
      <c r="H1" s="45"/>
      <c r="I1" s="45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</row>
    <row r="2" spans="1:20" x14ac:dyDescent="0.25">
      <c r="A2" s="45"/>
      <c r="B2" s="45"/>
      <c r="C2" s="45"/>
      <c r="D2" s="45"/>
      <c r="E2" s="45"/>
      <c r="F2" s="45"/>
      <c r="G2" s="45"/>
      <c r="H2" s="45"/>
      <c r="I2" s="45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</row>
    <row r="3" spans="1:20" x14ac:dyDescent="0.25">
      <c r="A3" s="45"/>
      <c r="B3" s="45"/>
      <c r="C3" s="45"/>
      <c r="D3" s="45"/>
      <c r="E3" s="45"/>
      <c r="F3" s="45"/>
      <c r="G3" s="45"/>
      <c r="H3" s="45"/>
      <c r="I3" s="45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</row>
    <row r="4" spans="1:20" x14ac:dyDescent="0.25">
      <c r="A4" s="45"/>
      <c r="B4" s="45"/>
      <c r="C4" s="45"/>
      <c r="D4" s="45"/>
      <c r="E4" s="45"/>
      <c r="F4" s="45"/>
      <c r="G4" s="45"/>
      <c r="H4" s="45"/>
      <c r="I4" s="45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</row>
    <row r="5" spans="1:20" x14ac:dyDescent="0.25">
      <c r="A5" s="45"/>
      <c r="B5" s="45"/>
      <c r="C5" s="45"/>
      <c r="D5" s="45"/>
      <c r="E5" s="45"/>
      <c r="F5" s="45"/>
      <c r="G5" s="45"/>
      <c r="H5" s="45"/>
      <c r="I5" s="45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</row>
    <row r="6" spans="1:20" x14ac:dyDescent="0.25">
      <c r="A6" s="45"/>
      <c r="B6" s="45"/>
      <c r="C6" s="45"/>
      <c r="D6" s="45"/>
      <c r="E6" s="45"/>
      <c r="F6" s="45"/>
      <c r="G6" s="45"/>
      <c r="H6" s="45"/>
      <c r="I6" s="45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</row>
    <row r="7" spans="1:20" x14ac:dyDescent="0.25">
      <c r="A7" s="45"/>
      <c r="B7" s="45"/>
      <c r="C7" s="45"/>
      <c r="D7" s="45"/>
      <c r="E7" s="45"/>
      <c r="F7" s="45"/>
      <c r="G7" s="45"/>
      <c r="H7" s="45"/>
      <c r="I7" s="45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</row>
    <row r="8" spans="1:20" x14ac:dyDescent="0.25">
      <c r="A8" s="44"/>
      <c r="B8" s="44"/>
      <c r="C8" s="45"/>
      <c r="D8" s="45"/>
      <c r="E8" s="45"/>
      <c r="F8" s="45"/>
      <c r="G8" s="45"/>
      <c r="H8" s="45"/>
      <c r="I8" s="45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</row>
    <row r="9" spans="1:20" x14ac:dyDescent="0.25">
      <c r="A9" s="44"/>
      <c r="B9" s="44"/>
      <c r="C9" s="45"/>
      <c r="D9" s="45"/>
      <c r="E9" s="45"/>
      <c r="F9" s="45"/>
      <c r="G9" s="45"/>
      <c r="H9" s="45"/>
      <c r="I9" s="45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</row>
    <row r="10" spans="1:20" ht="23.25" x14ac:dyDescent="0.35">
      <c r="A10" s="44"/>
      <c r="B10" s="44"/>
      <c r="C10" s="45"/>
      <c r="D10" s="45"/>
      <c r="E10" s="45"/>
      <c r="F10" s="45"/>
      <c r="G10" s="45"/>
      <c r="H10" s="45"/>
      <c r="I10" s="46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</row>
    <row r="11" spans="1:20" ht="23.25" x14ac:dyDescent="0.25">
      <c r="A11" s="44"/>
      <c r="B11" s="44"/>
      <c r="C11" s="45"/>
      <c r="D11" s="45"/>
      <c r="E11" s="45"/>
      <c r="F11" s="45"/>
      <c r="G11" s="45"/>
      <c r="H11" s="47" t="s">
        <v>58</v>
      </c>
      <c r="I11" s="45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</row>
    <row r="12" spans="1:20" ht="23.25" x14ac:dyDescent="0.35">
      <c r="A12" s="44"/>
      <c r="B12" s="44"/>
      <c r="C12" s="45"/>
      <c r="D12" s="45"/>
      <c r="E12" s="45"/>
      <c r="F12" s="45"/>
      <c r="G12" s="45"/>
      <c r="H12" s="46"/>
      <c r="I12" s="45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</row>
    <row r="13" spans="1:20" ht="23.25" x14ac:dyDescent="0.35">
      <c r="A13" s="44"/>
      <c r="B13" s="44"/>
      <c r="C13" s="45"/>
      <c r="D13" s="45"/>
      <c r="E13" s="45"/>
      <c r="F13" s="45"/>
      <c r="G13" s="45"/>
      <c r="H13" s="46" t="s">
        <v>59</v>
      </c>
      <c r="I13" s="45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</row>
    <row r="14" spans="1:20" ht="23.25" x14ac:dyDescent="0.35">
      <c r="A14" s="44"/>
      <c r="B14" s="44"/>
      <c r="C14" s="45"/>
      <c r="D14" s="45"/>
      <c r="E14" s="45"/>
      <c r="F14" s="45"/>
      <c r="G14" s="45"/>
      <c r="H14" s="46" t="s">
        <v>60</v>
      </c>
      <c r="I14" s="45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</row>
    <row r="15" spans="1:20" ht="23.25" x14ac:dyDescent="0.35">
      <c r="A15" s="44"/>
      <c r="B15" s="44"/>
      <c r="C15" s="45"/>
      <c r="D15" s="45"/>
      <c r="E15" s="45"/>
      <c r="F15" s="45"/>
      <c r="G15" s="45"/>
      <c r="H15" s="46" t="s">
        <v>61</v>
      </c>
      <c r="I15" s="45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</row>
    <row r="16" spans="1:20" ht="23.25" x14ac:dyDescent="0.35">
      <c r="A16" s="44"/>
      <c r="B16" s="44"/>
      <c r="C16" s="45"/>
      <c r="D16" s="45"/>
      <c r="E16" s="45"/>
      <c r="F16" s="45"/>
      <c r="G16" s="45"/>
      <c r="H16" s="46" t="s">
        <v>62</v>
      </c>
      <c r="I16" s="45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</row>
    <row r="17" spans="1:20" ht="23.25" x14ac:dyDescent="0.35">
      <c r="A17" s="44"/>
      <c r="B17" s="44"/>
      <c r="C17" s="45"/>
      <c r="D17" s="45"/>
      <c r="E17" s="45"/>
      <c r="F17" s="45"/>
      <c r="G17" s="45"/>
      <c r="H17" s="46" t="s">
        <v>63</v>
      </c>
      <c r="I17" s="45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</row>
    <row r="18" spans="1:20" ht="23.25" x14ac:dyDescent="0.35">
      <c r="A18" s="44"/>
      <c r="B18" s="44"/>
      <c r="C18" s="45"/>
      <c r="D18" s="45"/>
      <c r="E18" s="45"/>
      <c r="F18" s="45"/>
      <c r="G18" s="45"/>
      <c r="H18" s="48"/>
      <c r="I18" s="45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</row>
    <row r="19" spans="1:20" x14ac:dyDescent="0.25">
      <c r="A19" s="44"/>
      <c r="B19" s="44"/>
      <c r="C19" s="45"/>
      <c r="D19" s="45"/>
      <c r="E19" s="45"/>
      <c r="F19" s="45"/>
      <c r="G19" s="45"/>
      <c r="H19" s="49" t="s">
        <v>64</v>
      </c>
      <c r="I19" s="45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</row>
    <row r="20" spans="1:20" ht="23.25" x14ac:dyDescent="0.35">
      <c r="A20" s="44"/>
      <c r="B20" s="44"/>
      <c r="C20" s="45"/>
      <c r="D20" s="45"/>
      <c r="E20" s="45"/>
      <c r="F20" s="45"/>
      <c r="G20" s="45"/>
      <c r="H20" s="48"/>
      <c r="I20" s="45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</row>
    <row r="21" spans="1:20" ht="23.25" x14ac:dyDescent="0.35">
      <c r="A21" s="44"/>
      <c r="B21" s="44"/>
      <c r="C21" s="45"/>
      <c r="D21" s="45"/>
      <c r="E21" s="45"/>
      <c r="F21" s="45"/>
      <c r="G21" s="45"/>
      <c r="H21" s="48"/>
      <c r="I21" s="45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</row>
    <row r="22" spans="1:20" ht="23.25" x14ac:dyDescent="0.35">
      <c r="A22" s="44"/>
      <c r="B22" s="44"/>
      <c r="C22" s="45"/>
      <c r="D22" s="45"/>
      <c r="E22" s="45"/>
      <c r="F22" s="45"/>
      <c r="G22" s="45"/>
      <c r="H22" s="48"/>
      <c r="I22" s="48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</row>
    <row r="23" spans="1:20" ht="23.25" x14ac:dyDescent="0.35">
      <c r="A23" s="44"/>
      <c r="B23" s="44"/>
      <c r="C23" s="45"/>
      <c r="D23" s="45"/>
      <c r="E23" s="45"/>
      <c r="F23" s="45"/>
      <c r="G23" s="45"/>
      <c r="H23" s="48"/>
      <c r="I23" s="48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</row>
    <row r="24" spans="1:20" ht="23.25" x14ac:dyDescent="0.35">
      <c r="A24" s="44"/>
      <c r="B24" s="44"/>
      <c r="C24" s="45"/>
      <c r="D24" s="45"/>
      <c r="E24" s="45"/>
      <c r="F24" s="45"/>
      <c r="G24" s="45"/>
      <c r="H24" s="48"/>
      <c r="I24" s="48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</row>
    <row r="25" spans="1:20" x14ac:dyDescent="0.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</row>
    <row r="26" spans="1:20" x14ac:dyDescent="0.25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</row>
    <row r="27" spans="1:20" x14ac:dyDescent="0.25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</row>
    <row r="28" spans="1:20" x14ac:dyDescent="0.25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</row>
    <row r="29" spans="1:20" x14ac:dyDescent="0.25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</row>
    <row r="30" spans="1:20" x14ac:dyDescent="0.25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</row>
    <row r="31" spans="1:20" x14ac:dyDescent="0.25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</row>
    <row r="32" spans="1:20" x14ac:dyDescent="0.25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</row>
    <row r="33" spans="1:20" x14ac:dyDescent="0.25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</row>
    <row r="34" spans="1:20" x14ac:dyDescent="0.25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</row>
    <row r="35" spans="1:20" x14ac:dyDescent="0.2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</row>
    <row r="36" spans="1:20" x14ac:dyDescent="0.25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</row>
    <row r="37" spans="1:20" x14ac:dyDescent="0.25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</row>
    <row r="38" spans="1:20" x14ac:dyDescent="0.25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</row>
    <row r="39" spans="1:20" x14ac:dyDescent="0.25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</row>
    <row r="40" spans="1:20" x14ac:dyDescent="0.25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</row>
    <row r="41" spans="1:20" x14ac:dyDescent="0.25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</row>
    <row r="42" spans="1:20" x14ac:dyDescent="0.25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08A36-5F9D-4C1A-9C1D-7BC12EF196A4}">
  <dimension ref="B1:V30"/>
  <sheetViews>
    <sheetView topLeftCell="B4" workbookViewId="0">
      <selection activeCell="J23" sqref="J23"/>
    </sheetView>
  </sheetViews>
  <sheetFormatPr defaultRowHeight="15" x14ac:dyDescent="0.25"/>
  <sheetData>
    <row r="1" spans="2:22" s="45" customFormat="1" x14ac:dyDescent="0.25"/>
    <row r="2" spans="2:22" s="45" customFormat="1" x14ac:dyDescent="0.25"/>
    <row r="3" spans="2:22" s="45" customFormat="1" x14ac:dyDescent="0.25"/>
    <row r="4" spans="2:22" s="45" customFormat="1" x14ac:dyDescent="0.25"/>
    <row r="5" spans="2:22" s="45" customFormat="1" x14ac:dyDescent="0.25"/>
    <row r="6" spans="2:22" s="45" customFormat="1" x14ac:dyDescent="0.25"/>
    <row r="7" spans="2:22" s="45" customFormat="1" ht="23.25" x14ac:dyDescent="0.35"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8"/>
      <c r="N7" s="48"/>
      <c r="O7" s="48"/>
      <c r="P7" s="48"/>
      <c r="Q7" s="48"/>
      <c r="R7" s="48"/>
      <c r="S7" s="48"/>
      <c r="T7" s="48"/>
    </row>
    <row r="8" spans="2:22" s="45" customFormat="1" ht="23.25" x14ac:dyDescent="0.35"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8"/>
      <c r="N8" s="48"/>
      <c r="O8" s="48"/>
      <c r="P8" s="48"/>
      <c r="Q8" s="48"/>
      <c r="R8" s="48"/>
      <c r="S8" s="48"/>
      <c r="T8" s="48"/>
    </row>
    <row r="9" spans="2:22" s="45" customFormat="1" ht="28.5" x14ac:dyDescent="0.45">
      <c r="B9" s="49"/>
      <c r="C9" s="55" t="s">
        <v>65</v>
      </c>
      <c r="D9" s="55"/>
      <c r="E9" s="55"/>
      <c r="F9" s="55"/>
      <c r="G9" s="56"/>
      <c r="H9" s="56"/>
      <c r="I9" s="56"/>
      <c r="J9" s="56"/>
      <c r="K9" s="56"/>
      <c r="L9" s="49"/>
      <c r="M9" s="48"/>
      <c r="N9" s="48"/>
      <c r="O9" s="48"/>
      <c r="P9" s="48"/>
      <c r="Q9" s="48"/>
      <c r="R9" s="48"/>
      <c r="S9" s="48"/>
      <c r="T9" s="48"/>
    </row>
    <row r="10" spans="2:22" s="45" customFormat="1" ht="21" x14ac:dyDescent="0.35">
      <c r="B10" s="49"/>
      <c r="C10" s="51"/>
      <c r="D10" s="51"/>
      <c r="E10" s="51"/>
      <c r="F10" s="51"/>
      <c r="G10" s="51"/>
      <c r="H10" s="51"/>
      <c r="I10" s="51"/>
      <c r="J10" s="51"/>
      <c r="K10" s="51"/>
      <c r="L10" s="49"/>
    </row>
    <row r="11" spans="2:22" s="45" customFormat="1" ht="23.25" x14ac:dyDescent="0.35">
      <c r="B11" s="49"/>
      <c r="C11" s="50" t="s">
        <v>66</v>
      </c>
      <c r="D11" s="50"/>
      <c r="E11" s="50"/>
      <c r="F11" s="50"/>
      <c r="G11" s="50"/>
      <c r="H11" s="50"/>
      <c r="I11" s="50"/>
      <c r="J11" s="50"/>
      <c r="K11" s="50"/>
      <c r="L11" s="50"/>
      <c r="M11" s="48"/>
      <c r="N11" s="48"/>
      <c r="O11" s="48"/>
      <c r="P11" s="48"/>
      <c r="Q11" s="48"/>
      <c r="R11" s="48"/>
      <c r="S11" s="48"/>
      <c r="T11" s="48"/>
    </row>
    <row r="12" spans="2:22" s="45" customFormat="1" ht="23.25" x14ac:dyDescent="0.35">
      <c r="B12" s="49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48"/>
      <c r="N12" s="54" t="s">
        <v>74</v>
      </c>
      <c r="O12" s="54"/>
      <c r="P12" s="54"/>
      <c r="Q12" s="54"/>
      <c r="R12" s="48"/>
      <c r="S12" s="48"/>
      <c r="T12" s="48"/>
    </row>
    <row r="13" spans="2:22" s="45" customFormat="1" ht="23.25" x14ac:dyDescent="0.35">
      <c r="B13" s="49"/>
      <c r="C13" s="53" t="s">
        <v>67</v>
      </c>
      <c r="D13" s="53"/>
      <c r="E13" s="53"/>
      <c r="F13" s="51"/>
      <c r="G13" s="51"/>
      <c r="H13" s="51"/>
      <c r="I13" s="51"/>
      <c r="J13" s="51"/>
      <c r="K13" s="51"/>
      <c r="L13" s="49"/>
      <c r="M13" s="48"/>
      <c r="N13" s="48"/>
      <c r="O13" s="48"/>
      <c r="P13" s="48"/>
      <c r="Q13" s="48"/>
      <c r="R13" s="48"/>
      <c r="S13" s="48"/>
      <c r="T13" s="48"/>
    </row>
    <row r="14" spans="2:22" s="45" customFormat="1" ht="23.25" x14ac:dyDescent="0.35">
      <c r="B14" s="49"/>
      <c r="C14" s="52"/>
      <c r="D14" s="52"/>
      <c r="E14" s="52"/>
      <c r="F14" s="52"/>
      <c r="G14" s="52"/>
      <c r="H14" s="52"/>
      <c r="I14" s="52"/>
      <c r="J14" s="52"/>
      <c r="K14" s="51"/>
      <c r="L14" s="49"/>
      <c r="M14" s="48"/>
      <c r="N14" s="46" t="s">
        <v>75</v>
      </c>
      <c r="O14" s="46"/>
      <c r="P14" s="46"/>
      <c r="Q14" s="46"/>
      <c r="R14" s="46"/>
      <c r="S14" s="46"/>
      <c r="T14" s="46"/>
      <c r="U14" s="49"/>
      <c r="V14" s="49"/>
    </row>
    <row r="15" spans="2:22" s="45" customFormat="1" ht="23.25" x14ac:dyDescent="0.35">
      <c r="B15" s="49"/>
      <c r="C15" s="52" t="s">
        <v>68</v>
      </c>
      <c r="D15" s="52"/>
      <c r="E15" s="52"/>
      <c r="F15" s="52"/>
      <c r="G15" s="52"/>
      <c r="H15" s="52"/>
      <c r="I15" s="52"/>
      <c r="J15" s="52"/>
      <c r="K15" s="51"/>
      <c r="L15" s="49"/>
      <c r="M15" s="48"/>
      <c r="N15" s="46"/>
      <c r="O15" s="46"/>
      <c r="P15" s="46"/>
      <c r="Q15" s="46"/>
      <c r="R15" s="46"/>
      <c r="S15" s="46"/>
      <c r="T15" s="46"/>
      <c r="U15" s="49"/>
      <c r="V15" s="49"/>
    </row>
    <row r="16" spans="2:22" s="45" customFormat="1" ht="23.25" x14ac:dyDescent="0.35">
      <c r="B16" s="49"/>
      <c r="C16" s="52" t="s">
        <v>69</v>
      </c>
      <c r="D16" s="52"/>
      <c r="E16" s="52"/>
      <c r="F16" s="52"/>
      <c r="G16" s="52"/>
      <c r="H16" s="52"/>
      <c r="I16" s="52"/>
      <c r="J16" s="52"/>
      <c r="K16" s="51"/>
      <c r="L16" s="49"/>
      <c r="M16" s="48"/>
      <c r="N16" s="46" t="s">
        <v>76</v>
      </c>
      <c r="O16" s="46"/>
      <c r="P16" s="46"/>
      <c r="Q16" s="46"/>
      <c r="R16" s="46"/>
      <c r="S16" s="46"/>
      <c r="T16" s="46"/>
      <c r="U16" s="49"/>
      <c r="V16" s="49"/>
    </row>
    <row r="17" spans="2:22" s="45" customFormat="1" ht="23.25" x14ac:dyDescent="0.35">
      <c r="B17" s="49"/>
      <c r="C17" s="52" t="s">
        <v>70</v>
      </c>
      <c r="D17" s="52"/>
      <c r="E17" s="52"/>
      <c r="F17" s="52"/>
      <c r="G17" s="52"/>
      <c r="H17" s="52"/>
      <c r="I17" s="52"/>
      <c r="J17" s="52"/>
      <c r="K17" s="51"/>
      <c r="L17" s="49"/>
      <c r="M17" s="48"/>
      <c r="N17" s="46" t="s">
        <v>77</v>
      </c>
      <c r="O17" s="46"/>
      <c r="P17" s="46"/>
      <c r="Q17" s="46"/>
      <c r="R17" s="46"/>
      <c r="S17" s="46"/>
      <c r="T17" s="46"/>
      <c r="U17" s="49"/>
      <c r="V17" s="49"/>
    </row>
    <row r="18" spans="2:22" s="45" customFormat="1" ht="23.25" x14ac:dyDescent="0.35">
      <c r="B18" s="49"/>
      <c r="C18" s="52" t="s">
        <v>71</v>
      </c>
      <c r="D18" s="52"/>
      <c r="E18" s="52"/>
      <c r="F18" s="52"/>
      <c r="G18" s="52"/>
      <c r="H18" s="52"/>
      <c r="I18" s="52"/>
      <c r="J18" s="52"/>
      <c r="K18" s="51"/>
      <c r="L18" s="49"/>
      <c r="M18" s="48"/>
      <c r="N18" s="46" t="s">
        <v>78</v>
      </c>
      <c r="O18" s="46"/>
      <c r="P18" s="46"/>
      <c r="Q18" s="46"/>
      <c r="R18" s="46"/>
      <c r="S18" s="46"/>
      <c r="T18" s="46"/>
      <c r="U18" s="49"/>
      <c r="V18" s="49"/>
    </row>
    <row r="19" spans="2:22" s="45" customFormat="1" ht="23.25" x14ac:dyDescent="0.35">
      <c r="B19" s="49"/>
      <c r="C19" s="52" t="s">
        <v>72</v>
      </c>
      <c r="D19" s="52"/>
      <c r="E19" s="52"/>
      <c r="F19" s="52"/>
      <c r="G19" s="52"/>
      <c r="H19" s="52"/>
      <c r="I19" s="52"/>
      <c r="J19" s="52"/>
      <c r="K19" s="51"/>
      <c r="L19" s="49"/>
      <c r="M19" s="48"/>
      <c r="N19" s="46" t="s">
        <v>79</v>
      </c>
      <c r="O19" s="46"/>
      <c r="P19" s="46"/>
      <c r="Q19" s="46"/>
      <c r="R19" s="46"/>
      <c r="S19" s="46"/>
      <c r="T19" s="46"/>
      <c r="U19" s="49"/>
      <c r="V19" s="49"/>
    </row>
    <row r="20" spans="2:22" s="45" customFormat="1" ht="23.25" x14ac:dyDescent="0.35">
      <c r="B20" s="49"/>
      <c r="C20" s="52" t="s">
        <v>73</v>
      </c>
      <c r="D20" s="52"/>
      <c r="E20" s="52"/>
      <c r="F20" s="52"/>
      <c r="G20" s="52"/>
      <c r="H20" s="52"/>
      <c r="I20" s="52"/>
      <c r="J20" s="52"/>
      <c r="K20" s="51"/>
      <c r="L20" s="49"/>
      <c r="M20" s="48"/>
      <c r="N20" s="46" t="s">
        <v>80</v>
      </c>
      <c r="O20" s="46"/>
      <c r="P20" s="46"/>
      <c r="Q20" s="46"/>
      <c r="R20" s="46"/>
      <c r="S20" s="46"/>
      <c r="T20" s="46"/>
      <c r="U20" s="49"/>
      <c r="V20" s="49"/>
    </row>
    <row r="21" spans="2:22" s="45" customFormat="1" ht="23.25" x14ac:dyDescent="0.35">
      <c r="B21" s="49"/>
      <c r="C21" s="51"/>
      <c r="D21" s="51"/>
      <c r="E21" s="51"/>
      <c r="F21" s="51"/>
      <c r="G21" s="51"/>
      <c r="H21" s="51"/>
      <c r="I21" s="51"/>
      <c r="J21" s="51"/>
      <c r="K21" s="51"/>
      <c r="L21" s="49"/>
      <c r="M21" s="48"/>
      <c r="N21" s="48"/>
      <c r="O21" s="48"/>
      <c r="P21" s="48"/>
      <c r="Q21" s="48"/>
      <c r="R21" s="48"/>
      <c r="S21" s="48"/>
      <c r="T21" s="48"/>
    </row>
    <row r="22" spans="2:22" s="45" customFormat="1" ht="21" x14ac:dyDescent="0.35">
      <c r="B22" s="49"/>
      <c r="C22" s="51"/>
      <c r="D22" s="51"/>
      <c r="E22" s="51"/>
      <c r="F22" s="51"/>
      <c r="G22" s="51"/>
      <c r="H22" s="51"/>
      <c r="I22" s="51"/>
      <c r="J22" s="51"/>
      <c r="K22" s="51"/>
      <c r="L22" s="49"/>
    </row>
    <row r="23" spans="2:22" s="45" customFormat="1" x14ac:dyDescent="0.25"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</row>
    <row r="24" spans="2:22" s="45" customFormat="1" x14ac:dyDescent="0.25"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</row>
    <row r="25" spans="2:22" s="45" customFormat="1" x14ac:dyDescent="0.25"/>
    <row r="26" spans="2:22" s="45" customFormat="1" x14ac:dyDescent="0.25"/>
    <row r="27" spans="2:22" s="45" customFormat="1" x14ac:dyDescent="0.25"/>
    <row r="28" spans="2:22" s="45" customFormat="1" x14ac:dyDescent="0.25"/>
    <row r="29" spans="2:22" s="45" customFormat="1" x14ac:dyDescent="0.25"/>
    <row r="30" spans="2:22" s="45" customFormat="1" x14ac:dyDescent="0.25"/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A2:H39"/>
  <sheetViews>
    <sheetView showGridLines="0" tabSelected="1" workbookViewId="0">
      <pane ySplit="11" topLeftCell="A12" activePane="bottomLeft" state="frozen"/>
      <selection pane="bottomLeft" activeCell="D27" sqref="D27"/>
    </sheetView>
  </sheetViews>
  <sheetFormatPr defaultRowHeight="15" x14ac:dyDescent="0.25"/>
  <cols>
    <col min="1" max="1" width="5.28515625" customWidth="1"/>
    <col min="2" max="2" width="48.42578125" customWidth="1"/>
    <col min="3" max="3" width="22" customWidth="1"/>
    <col min="4" max="4" width="16.5703125" customWidth="1"/>
    <col min="5" max="5" width="36.7109375" bestFit="1" customWidth="1"/>
    <col min="6" max="6" width="19" customWidth="1"/>
    <col min="7" max="7" width="6.140625" customWidth="1"/>
  </cols>
  <sheetData>
    <row r="2" spans="1:8" ht="15.75" x14ac:dyDescent="0.25">
      <c r="B2" s="43" t="s">
        <v>0</v>
      </c>
      <c r="C2" s="43"/>
    </row>
    <row r="4" spans="1:8" x14ac:dyDescent="0.25">
      <c r="B4" s="20" t="s">
        <v>1</v>
      </c>
      <c r="C4" s="1"/>
    </row>
    <row r="5" spans="1:8" hidden="1" x14ac:dyDescent="0.25">
      <c r="B5" s="19" t="s">
        <v>2</v>
      </c>
      <c r="C5" s="6">
        <v>2</v>
      </c>
    </row>
    <row r="6" spans="1:8" x14ac:dyDescent="0.25">
      <c r="B6" s="21" t="s">
        <v>3</v>
      </c>
      <c r="C6" s="33">
        <v>3000000</v>
      </c>
      <c r="D6" s="8" t="s">
        <v>52</v>
      </c>
    </row>
    <row r="7" spans="1:8" x14ac:dyDescent="0.25">
      <c r="B7" s="22" t="s">
        <v>4</v>
      </c>
      <c r="C7" s="34">
        <v>0</v>
      </c>
      <c r="D7" s="8"/>
    </row>
    <row r="8" spans="1:8" x14ac:dyDescent="0.25">
      <c r="B8" s="21" t="s">
        <v>5</v>
      </c>
      <c r="C8" s="34">
        <v>0</v>
      </c>
    </row>
    <row r="9" spans="1:8" x14ac:dyDescent="0.25">
      <c r="A9" s="26"/>
      <c r="B9" s="25" t="s">
        <v>6</v>
      </c>
      <c r="C9" s="35">
        <v>0.08</v>
      </c>
      <c r="D9" s="8" t="s">
        <v>53</v>
      </c>
    </row>
    <row r="10" spans="1:8" x14ac:dyDescent="0.25">
      <c r="B10" s="24" t="s">
        <v>7</v>
      </c>
      <c r="C10" s="36">
        <v>0.12</v>
      </c>
      <c r="D10" s="8" t="s">
        <v>54</v>
      </c>
    </row>
    <row r="11" spans="1:8" x14ac:dyDescent="0.25">
      <c r="B11" s="23" t="s">
        <v>8</v>
      </c>
      <c r="C11" s="37">
        <v>1250000</v>
      </c>
      <c r="D11" s="27"/>
    </row>
    <row r="13" spans="1:8" x14ac:dyDescent="0.25">
      <c r="B13" s="1" t="s">
        <v>9</v>
      </c>
      <c r="C13" s="1"/>
      <c r="E13" s="1" t="s">
        <v>55</v>
      </c>
      <c r="F13" s="1"/>
    </row>
    <row r="14" spans="1:8" x14ac:dyDescent="0.25">
      <c r="B14" s="24" t="s">
        <v>10</v>
      </c>
      <c r="C14" s="28">
        <f>C11+C8</f>
        <v>1250000</v>
      </c>
      <c r="D14" s="29"/>
      <c r="E14" s="18" t="s">
        <v>27</v>
      </c>
      <c r="F14" s="38">
        <v>8888.93</v>
      </c>
      <c r="H14" s="42" t="s">
        <v>56</v>
      </c>
    </row>
    <row r="15" spans="1:8" ht="15.75" x14ac:dyDescent="0.25">
      <c r="B15" s="24" t="s">
        <v>11</v>
      </c>
      <c r="C15" s="28">
        <f>MIN(C6,C14)</f>
        <v>1250000</v>
      </c>
      <c r="E15" s="15" t="s">
        <v>28</v>
      </c>
      <c r="F15" s="16">
        <f>MAX(C25-F14,0)</f>
        <v>48611.07</v>
      </c>
    </row>
    <row r="16" spans="1:8" x14ac:dyDescent="0.25">
      <c r="B16" s="24" t="s">
        <v>12</v>
      </c>
      <c r="C16" s="30">
        <f>MAX(C6-C14,0)</f>
        <v>1750000</v>
      </c>
      <c r="D16" s="29"/>
      <c r="E16" s="17" t="s">
        <v>29</v>
      </c>
      <c r="F16" s="39">
        <v>0</v>
      </c>
      <c r="H16" s="42" t="s">
        <v>56</v>
      </c>
    </row>
    <row r="17" spans="1:6" ht="15.75" x14ac:dyDescent="0.25">
      <c r="B17" s="24" t="s">
        <v>57</v>
      </c>
      <c r="C17" s="28">
        <f>MAX(C14-C6,0)</f>
        <v>0</v>
      </c>
      <c r="D17" s="29"/>
      <c r="E17" s="11" t="s">
        <v>30</v>
      </c>
      <c r="F17" s="13">
        <f>MAX(C32-F16,0)</f>
        <v>34290</v>
      </c>
    </row>
    <row r="18" spans="1:6" x14ac:dyDescent="0.25">
      <c r="A18" s="26"/>
      <c r="B18" s="24" t="s">
        <v>13</v>
      </c>
      <c r="C18" s="24">
        <f>C9*1.1</f>
        <v>8.8000000000000009E-2</v>
      </c>
      <c r="D18" s="27"/>
      <c r="E18" s="12"/>
      <c r="F18" s="14"/>
    </row>
    <row r="19" spans="1:6" ht="15.75" x14ac:dyDescent="0.25">
      <c r="B19" s="24" t="s">
        <v>14</v>
      </c>
      <c r="C19" s="28">
        <f>C15*C9</f>
        <v>100000</v>
      </c>
      <c r="D19" s="27"/>
      <c r="E19" s="10" t="s">
        <v>31</v>
      </c>
      <c r="F19" s="9">
        <f>F15+F17</f>
        <v>82901.070000000007</v>
      </c>
    </row>
    <row r="20" spans="1:6" x14ac:dyDescent="0.25">
      <c r="B20" s="24" t="s">
        <v>15</v>
      </c>
      <c r="C20" s="30">
        <f>C16*C18</f>
        <v>154000.00000000003</v>
      </c>
      <c r="D20" s="27"/>
    </row>
    <row r="21" spans="1:6" x14ac:dyDescent="0.25">
      <c r="B21" s="24" t="s">
        <v>16</v>
      </c>
      <c r="C21" s="28">
        <f>C19+C20+C7</f>
        <v>254000.00000000003</v>
      </c>
    </row>
    <row r="22" spans="1:6" x14ac:dyDescent="0.25">
      <c r="A22" s="26"/>
      <c r="B22" s="40" t="s">
        <v>17</v>
      </c>
      <c r="C22" s="41">
        <f>C21*15%</f>
        <v>38100</v>
      </c>
    </row>
    <row r="23" spans="1:6" x14ac:dyDescent="0.25">
      <c r="B23" s="24" t="s">
        <v>18</v>
      </c>
      <c r="C23" s="28">
        <f>MAX(C21-60000,0)</f>
        <v>194000.00000000003</v>
      </c>
      <c r="D23" s="27"/>
    </row>
    <row r="24" spans="1:6" x14ac:dyDescent="0.25">
      <c r="A24" s="26"/>
      <c r="B24" s="24" t="s">
        <v>19</v>
      </c>
      <c r="C24" s="28">
        <f>C23*10%</f>
        <v>19400.000000000004</v>
      </c>
      <c r="D24" s="27"/>
    </row>
    <row r="25" spans="1:6" x14ac:dyDescent="0.25">
      <c r="B25" s="40" t="s">
        <v>20</v>
      </c>
      <c r="C25" s="41">
        <f>C22+C24</f>
        <v>57500</v>
      </c>
      <c r="D25" s="27"/>
    </row>
    <row r="26" spans="1:6" x14ac:dyDescent="0.25">
      <c r="B26" s="31"/>
      <c r="C26" s="32"/>
    </row>
    <row r="27" spans="1:6" x14ac:dyDescent="0.25">
      <c r="B27" s="24" t="s">
        <v>21</v>
      </c>
      <c r="C27" s="24" t="str">
        <f>IF(C5&gt;=2,"SIM","NÃO")</f>
        <v>SIM</v>
      </c>
    </row>
    <row r="28" spans="1:6" x14ac:dyDescent="0.25">
      <c r="B28" s="24" t="s">
        <v>22</v>
      </c>
      <c r="C28" s="24">
        <f>IF(C5&gt;=2,C10*1.1,C10)</f>
        <v>0.13200000000000001</v>
      </c>
    </row>
    <row r="29" spans="1:6" x14ac:dyDescent="0.25">
      <c r="B29" s="24" t="s">
        <v>23</v>
      </c>
      <c r="C29" s="28">
        <f>C15*C10</f>
        <v>150000</v>
      </c>
    </row>
    <row r="30" spans="1:6" x14ac:dyDescent="0.25">
      <c r="B30" s="24" t="s">
        <v>24</v>
      </c>
      <c r="C30" s="30">
        <f>C16*C28</f>
        <v>231000</v>
      </c>
    </row>
    <row r="31" spans="1:6" x14ac:dyDescent="0.25">
      <c r="B31" s="24" t="s">
        <v>25</v>
      </c>
      <c r="C31" s="28">
        <f>C29+C30+C7</f>
        <v>381000</v>
      </c>
    </row>
    <row r="32" spans="1:6" x14ac:dyDescent="0.25">
      <c r="B32" s="40" t="s">
        <v>26</v>
      </c>
      <c r="C32" s="41">
        <f>C31*9%</f>
        <v>34290</v>
      </c>
    </row>
    <row r="33" spans="2:3" ht="15.75" x14ac:dyDescent="0.25">
      <c r="C33" s="7"/>
    </row>
    <row r="35" spans="2:3" x14ac:dyDescent="0.25">
      <c r="B35" s="4" t="s">
        <v>32</v>
      </c>
    </row>
    <row r="36" spans="2:3" x14ac:dyDescent="0.25">
      <c r="B36" t="s">
        <v>33</v>
      </c>
    </row>
    <row r="37" spans="2:3" x14ac:dyDescent="0.25">
      <c r="B37" t="s">
        <v>34</v>
      </c>
    </row>
    <row r="38" spans="2:3" x14ac:dyDescent="0.25">
      <c r="B38" t="s">
        <v>35</v>
      </c>
    </row>
    <row r="39" spans="2:3" x14ac:dyDescent="0.25">
      <c r="B39" t="s">
        <v>36</v>
      </c>
    </row>
  </sheetData>
  <mergeCells count="1">
    <mergeCell ref="B2:C2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J10"/>
  <sheetViews>
    <sheetView showGridLines="0" workbookViewId="0">
      <selection activeCell="E14" sqref="E14:E15"/>
    </sheetView>
  </sheetViews>
  <sheetFormatPr defaultRowHeight="15" x14ac:dyDescent="0.25"/>
  <cols>
    <col min="1" max="2" width="18" customWidth="1"/>
    <col min="3" max="3" width="20" customWidth="1"/>
    <col min="4" max="4" width="22" customWidth="1"/>
    <col min="5" max="5" width="18" customWidth="1"/>
    <col min="6" max="6" width="20" customWidth="1"/>
    <col min="7" max="10" width="18" customWidth="1"/>
  </cols>
  <sheetData>
    <row r="1" spans="1:10" ht="15.75" x14ac:dyDescent="0.25">
      <c r="A1" s="43" t="s">
        <v>37</v>
      </c>
      <c r="B1" s="43"/>
      <c r="C1" s="43"/>
    </row>
    <row r="3" spans="1:10" x14ac:dyDescent="0.25">
      <c r="A3" s="5" t="s">
        <v>38</v>
      </c>
      <c r="B3" s="5" t="s">
        <v>39</v>
      </c>
      <c r="C3" s="5" t="s">
        <v>40</v>
      </c>
      <c r="D3" s="5" t="s">
        <v>41</v>
      </c>
      <c r="E3" s="5" t="s">
        <v>42</v>
      </c>
      <c r="F3" s="5" t="s">
        <v>43</v>
      </c>
      <c r="G3" s="5" t="s">
        <v>44</v>
      </c>
      <c r="H3" s="5" t="s">
        <v>20</v>
      </c>
      <c r="I3" s="5" t="s">
        <v>45</v>
      </c>
      <c r="J3" s="5" t="s">
        <v>46</v>
      </c>
    </row>
    <row r="4" spans="1:10" x14ac:dyDescent="0.25">
      <c r="A4" s="2" t="s">
        <v>47</v>
      </c>
      <c r="B4" s="3">
        <v>1099699.8400000001</v>
      </c>
      <c r="C4" s="3">
        <v>1250000</v>
      </c>
      <c r="D4" s="3">
        <f>MIN(B4,C4)</f>
        <v>1099699.8400000001</v>
      </c>
      <c r="E4" s="3">
        <f>MAX(B4-C4,0)</f>
        <v>0</v>
      </c>
      <c r="F4" s="3">
        <f>MAX(C4-B4,0)</f>
        <v>150300.15999999992</v>
      </c>
      <c r="G4" s="3">
        <f>D4*32% + E4*35.2%</f>
        <v>351903.94880000001</v>
      </c>
      <c r="H4" s="3">
        <f>G4*15% + MAX(G4-60000,0)*10%</f>
        <v>81975.987200000003</v>
      </c>
      <c r="I4" s="3">
        <f>G4*9%</f>
        <v>31671.355392000001</v>
      </c>
      <c r="J4" s="3">
        <f>H4+I4</f>
        <v>113647.342592</v>
      </c>
    </row>
    <row r="5" spans="1:10" x14ac:dyDescent="0.25">
      <c r="A5" s="2" t="s">
        <v>48</v>
      </c>
      <c r="B5" s="3">
        <v>0</v>
      </c>
      <c r="C5" s="3">
        <f>1250000+F4</f>
        <v>1400300.16</v>
      </c>
      <c r="D5" s="3">
        <f>MIN(B5,C5)</f>
        <v>0</v>
      </c>
      <c r="E5" s="3">
        <f>MAX(B5-C5,0)</f>
        <v>0</v>
      </c>
      <c r="F5" s="3">
        <f>MAX(C5-B5,0)</f>
        <v>1400300.16</v>
      </c>
      <c r="G5" s="3">
        <f>D5*32% + E5*35.2%</f>
        <v>0</v>
      </c>
      <c r="H5" s="3">
        <f>G5*15% + MAX(G5-60000,0)*10%</f>
        <v>0</v>
      </c>
      <c r="I5" s="3">
        <f>G5*9%</f>
        <v>0</v>
      </c>
      <c r="J5" s="3">
        <f>H5+I5</f>
        <v>0</v>
      </c>
    </row>
    <row r="6" spans="1:10" x14ac:dyDescent="0.25">
      <c r="A6" s="2" t="s">
        <v>49</v>
      </c>
      <c r="B6" s="3">
        <v>0</v>
      </c>
      <c r="C6" s="3">
        <f>1250000+F5</f>
        <v>2650300.16</v>
      </c>
      <c r="D6" s="3">
        <f>MIN(B6,C6)</f>
        <v>0</v>
      </c>
      <c r="E6" s="3">
        <f>MAX(B6-C6,0)</f>
        <v>0</v>
      </c>
      <c r="F6" s="3">
        <f>MAX(C6-B6,0)</f>
        <v>2650300.16</v>
      </c>
      <c r="G6" s="3">
        <f>D6*32% + E6*35.2%</f>
        <v>0</v>
      </c>
      <c r="H6" s="3">
        <f>G6*15% + MAX(G6-60000,0)*10%</f>
        <v>0</v>
      </c>
      <c r="I6" s="3">
        <f>G6*9%</f>
        <v>0</v>
      </c>
      <c r="J6" s="3">
        <f>H6+I6</f>
        <v>0</v>
      </c>
    </row>
    <row r="7" spans="1:10" x14ac:dyDescent="0.25">
      <c r="A7" s="2" t="s">
        <v>50</v>
      </c>
      <c r="B7" s="3">
        <v>0</v>
      </c>
      <c r="C7" s="3">
        <f>1250000+F6</f>
        <v>3900300.16</v>
      </c>
      <c r="D7" s="3">
        <f>MIN(B7,C7)</f>
        <v>0</v>
      </c>
      <c r="E7" s="3">
        <f>MAX(B7-C7,0)</f>
        <v>0</v>
      </c>
      <c r="F7" s="3">
        <f>MAX(C7-B7,0)</f>
        <v>3900300.16</v>
      </c>
      <c r="G7" s="3">
        <f>D7*32% + E7*35.2%</f>
        <v>0</v>
      </c>
      <c r="H7" s="3">
        <f>G7*15% + MAX(G7-60000,0)*10%</f>
        <v>0</v>
      </c>
      <c r="I7" s="3">
        <f>G7*9%</f>
        <v>0</v>
      </c>
      <c r="J7" s="3">
        <f>H7+I7</f>
        <v>0</v>
      </c>
    </row>
    <row r="10" spans="1:10" x14ac:dyDescent="0.25">
      <c r="A10" s="4" t="s">
        <v>51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Capa</vt:lpstr>
      <vt:lpstr>O Problema</vt:lpstr>
      <vt:lpstr>Apuração 1° Trimestre </vt:lpstr>
      <vt:lpstr>Memória de Cálculo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openpyxl;João Teixeira</dc:creator>
  <cp:lastModifiedBy>João Teixeira</cp:lastModifiedBy>
  <dcterms:created xsi:type="dcterms:W3CDTF">2026-05-19T15:18:19Z</dcterms:created>
  <dcterms:modified xsi:type="dcterms:W3CDTF">2026-05-19T19:23:43Z</dcterms:modified>
</cp:coreProperties>
</file>